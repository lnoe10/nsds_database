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oren\Documents\GitHub\nsds_database\"/>
    </mc:Choice>
  </mc:AlternateContent>
  <xr:revisionPtr revIDLastSave="0" documentId="8_{AE61D0B4-63DB-4E8A-AE2E-2F9084173643}" xr6:coauthVersionLast="47" xr6:coauthVersionMax="47" xr10:uidLastSave="{00000000-0000-0000-0000-000000000000}"/>
  <bookViews>
    <workbookView xWindow="-108" yWindow="-108" windowWidth="23256" windowHeight="12576" xr2:uid="{00000000-000D-0000-FFFF-FFFF00000000}"/>
  </bookViews>
  <sheets>
    <sheet name="WORKING VERSION" sheetId="14" r:id="rId1"/>
    <sheet name="Gender Statistics plans" sheetId="16" r:id="rId2"/>
    <sheet name="IDA country list" sheetId="17" r:id="rId3"/>
  </sheets>
  <externalReferences>
    <externalReference r:id="rId4"/>
  </externalReferences>
  <definedNames>
    <definedName name="_xlnm._FilterDatabase" localSheetId="0" hidden="1">'WORKING VERSION'!$A$1:$X$204</definedName>
    <definedName name="a">#REF!</definedName>
    <definedName name="afg">'[1]Standard Country page'!#REF!</definedName>
    <definedName name="Weights">#REF!</definedName>
  </definedNames>
  <calcPr calcId="191028"/>
  <fileRecoveryPr autoRecover="0"/>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4"/>
    </ext>
  </extLst>
</workbook>
</file>

<file path=xl/calcChain.xml><?xml version="1.0" encoding="utf-8"?>
<calcChain xmlns="http://schemas.openxmlformats.org/spreadsheetml/2006/main">
  <c r="C3" i="14" l="1"/>
  <c r="C4" i="14"/>
  <c r="C5" i="14"/>
  <c r="C6" i="14"/>
  <c r="C7"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50" i="14"/>
  <c r="C51" i="14"/>
  <c r="C52" i="14"/>
  <c r="C53" i="14"/>
  <c r="C54" i="14"/>
  <c r="C55" i="14"/>
  <c r="C56" i="14"/>
  <c r="C57" i="14"/>
  <c r="C58" i="14"/>
  <c r="C59" i="14"/>
  <c r="C60" i="14"/>
  <c r="C61" i="14"/>
  <c r="C62" i="14"/>
  <c r="C63" i="14"/>
  <c r="C64" i="14"/>
  <c r="C65" i="14"/>
  <c r="C66" i="14"/>
  <c r="C67" i="14"/>
  <c r="C68" i="14"/>
  <c r="C69" i="14"/>
  <c r="C70" i="14"/>
  <c r="C71" i="14"/>
  <c r="C72" i="14"/>
  <c r="C73" i="14"/>
  <c r="C74" i="14"/>
  <c r="C75" i="14"/>
  <c r="C76" i="14"/>
  <c r="C77" i="14"/>
  <c r="C78" i="14"/>
  <c r="C79" i="14"/>
  <c r="C80" i="14"/>
  <c r="C81" i="14"/>
  <c r="C82" i="14"/>
  <c r="C83" i="14"/>
  <c r="C84" i="14"/>
  <c r="C85" i="14"/>
  <c r="C86" i="14"/>
  <c r="C87" i="14"/>
  <c r="C88" i="14"/>
  <c r="C89" i="14"/>
  <c r="C90" i="14"/>
  <c r="C91" i="14"/>
  <c r="C92" i="14"/>
  <c r="C93" i="14"/>
  <c r="C94" i="14"/>
  <c r="C95" i="14"/>
  <c r="C96" i="14"/>
  <c r="C97" i="14"/>
  <c r="C98" i="14"/>
  <c r="C99" i="14"/>
  <c r="C100" i="14"/>
  <c r="C101" i="14"/>
  <c r="C102" i="14"/>
  <c r="C103" i="14"/>
  <c r="C104" i="14"/>
  <c r="C105" i="14"/>
  <c r="C106" i="14"/>
  <c r="C107" i="14"/>
  <c r="C108" i="14"/>
  <c r="C109" i="14"/>
  <c r="C110" i="14"/>
  <c r="C111" i="14"/>
  <c r="C112" i="14"/>
  <c r="C113" i="14"/>
  <c r="C114" i="14"/>
  <c r="C115" i="14"/>
  <c r="C116" i="14"/>
  <c r="C117" i="14"/>
  <c r="C118" i="14"/>
  <c r="C119" i="14"/>
  <c r="C120" i="14"/>
  <c r="C121" i="14"/>
  <c r="C122" i="14"/>
  <c r="C123" i="14"/>
  <c r="C124" i="14"/>
  <c r="C125" i="14"/>
  <c r="C126" i="14"/>
  <c r="C127" i="14"/>
  <c r="C128" i="14"/>
  <c r="C129" i="14"/>
  <c r="C130" i="14"/>
  <c r="C131" i="14"/>
  <c r="C132" i="14"/>
  <c r="C133" i="14"/>
  <c r="C134" i="14"/>
  <c r="C135" i="14"/>
  <c r="C136" i="14"/>
  <c r="C137" i="14"/>
  <c r="C138" i="14"/>
  <c r="C139" i="14"/>
  <c r="C140" i="14"/>
  <c r="C141" i="14"/>
  <c r="C142" i="14"/>
  <c r="C143" i="14"/>
  <c r="C144" i="14"/>
  <c r="C145" i="14"/>
  <c r="C146" i="14"/>
  <c r="C147" i="14"/>
  <c r="C148" i="14"/>
  <c r="C149" i="14"/>
  <c r="C150" i="14"/>
  <c r="C151" i="14"/>
  <c r="C152" i="14"/>
  <c r="C153" i="14"/>
  <c r="C154" i="14"/>
  <c r="C155" i="14"/>
  <c r="C156" i="14"/>
  <c r="C157" i="14"/>
  <c r="C158" i="14"/>
  <c r="C159" i="14"/>
  <c r="C160" i="14"/>
  <c r="C161" i="14"/>
  <c r="C162" i="14"/>
  <c r="C163" i="14"/>
  <c r="C164" i="14"/>
  <c r="C165" i="14"/>
  <c r="C166" i="14"/>
  <c r="C167" i="14"/>
  <c r="C168" i="14"/>
  <c r="C169" i="14"/>
  <c r="C170" i="14"/>
  <c r="C171" i="14"/>
  <c r="C172" i="14"/>
  <c r="C173" i="14"/>
  <c r="C174" i="14"/>
  <c r="C175" i="14"/>
  <c r="C176" i="14"/>
  <c r="C177" i="14"/>
  <c r="C178" i="14"/>
  <c r="C179" i="14"/>
  <c r="C180" i="14"/>
  <c r="C181" i="14"/>
  <c r="C182" i="14"/>
  <c r="C183" i="14"/>
  <c r="C184" i="14"/>
  <c r="C185" i="14"/>
  <c r="C186" i="14"/>
  <c r="C187" i="14"/>
  <c r="C188" i="14"/>
  <c r="C189" i="14"/>
  <c r="C190" i="14"/>
  <c r="C191" i="14"/>
  <c r="C192" i="14"/>
  <c r="C193" i="14"/>
  <c r="C194" i="14"/>
  <c r="C195" i="14"/>
  <c r="C196" i="14"/>
  <c r="C197" i="14"/>
  <c r="C198" i="14"/>
  <c r="C199" i="14"/>
  <c r="C200" i="14"/>
  <c r="C201" i="14"/>
  <c r="C202" i="14"/>
  <c r="C203" i="14"/>
  <c r="C204" i="14"/>
  <c r="C2" i="14"/>
  <c r="I3" i="14"/>
  <c r="I4" i="14"/>
  <c r="I5" i="14"/>
  <c r="I6" i="14"/>
  <c r="I7" i="14"/>
  <c r="I8" i="14"/>
  <c r="I9" i="14"/>
  <c r="I10" i="14"/>
  <c r="I11" i="14"/>
  <c r="I12" i="14"/>
  <c r="I13" i="14"/>
  <c r="I14" i="14"/>
  <c r="I15" i="14"/>
  <c r="I16" i="14"/>
  <c r="I17" i="14"/>
  <c r="I18" i="14"/>
  <c r="I19" i="14"/>
  <c r="I20" i="14"/>
  <c r="I21" i="14"/>
  <c r="I22" i="14"/>
  <c r="I23" i="14"/>
  <c r="I24" i="14"/>
  <c r="I25" i="14"/>
  <c r="I26" i="14"/>
  <c r="I27" i="14"/>
  <c r="I28" i="14"/>
  <c r="I29" i="14"/>
  <c r="I30" i="14"/>
  <c r="I31" i="14"/>
  <c r="I32" i="14"/>
  <c r="I33" i="14"/>
  <c r="I34" i="14"/>
  <c r="I35" i="14"/>
  <c r="I36" i="14"/>
  <c r="I37" i="14"/>
  <c r="I38" i="14"/>
  <c r="I39" i="14"/>
  <c r="I40" i="14"/>
  <c r="I41" i="14"/>
  <c r="I42" i="14"/>
  <c r="I43" i="14"/>
  <c r="I44" i="14"/>
  <c r="I45" i="14"/>
  <c r="I46" i="14"/>
  <c r="I47" i="14"/>
  <c r="I48" i="14"/>
  <c r="I49" i="14"/>
  <c r="I50" i="14"/>
  <c r="I51" i="14"/>
  <c r="I52" i="14"/>
  <c r="I53" i="14"/>
  <c r="I54" i="14"/>
  <c r="I55" i="14"/>
  <c r="I56" i="14"/>
  <c r="I57" i="14"/>
  <c r="I58" i="14"/>
  <c r="I59" i="14"/>
  <c r="I60" i="14"/>
  <c r="I61" i="14"/>
  <c r="I62" i="14"/>
  <c r="I63" i="14"/>
  <c r="I64" i="14"/>
  <c r="I65" i="14"/>
  <c r="I66" i="14"/>
  <c r="I67" i="14"/>
  <c r="I68" i="14"/>
  <c r="I69" i="14"/>
  <c r="I70" i="14"/>
  <c r="I71" i="14"/>
  <c r="I72" i="14"/>
  <c r="I73" i="14"/>
  <c r="I74" i="14"/>
  <c r="I75" i="14"/>
  <c r="I76" i="14"/>
  <c r="I77" i="14"/>
  <c r="I78" i="14"/>
  <c r="I79" i="14"/>
  <c r="I80" i="14"/>
  <c r="I81" i="14"/>
  <c r="I82" i="14"/>
  <c r="I83" i="14"/>
  <c r="I84" i="14"/>
  <c r="I85" i="14"/>
  <c r="I86" i="14"/>
  <c r="I87" i="14"/>
  <c r="I88" i="14"/>
  <c r="I89" i="14"/>
  <c r="I90" i="14"/>
  <c r="I91" i="14"/>
  <c r="I92" i="14"/>
  <c r="I93" i="14"/>
  <c r="I94" i="14"/>
  <c r="I95" i="14"/>
  <c r="I96" i="14"/>
  <c r="I97" i="14"/>
  <c r="I98" i="14"/>
  <c r="I99" i="14"/>
  <c r="I100" i="14"/>
  <c r="I101" i="14"/>
  <c r="I102" i="14"/>
  <c r="I103" i="14"/>
  <c r="I104" i="14"/>
  <c r="I105" i="14"/>
  <c r="I106" i="14"/>
  <c r="I107" i="14"/>
  <c r="I108" i="14"/>
  <c r="I109" i="14"/>
  <c r="I110" i="14"/>
  <c r="I111" i="14"/>
  <c r="I112" i="14"/>
  <c r="I113" i="14"/>
  <c r="I114" i="14"/>
  <c r="I115" i="14"/>
  <c r="I116" i="14"/>
  <c r="I117" i="14"/>
  <c r="I118" i="14"/>
  <c r="I119" i="14"/>
  <c r="I120" i="14"/>
  <c r="I121" i="14"/>
  <c r="I122" i="14"/>
  <c r="I123" i="14"/>
  <c r="I124" i="14"/>
  <c r="I125" i="14"/>
  <c r="I126" i="14"/>
  <c r="I127" i="14"/>
  <c r="I128" i="14"/>
  <c r="I129" i="14"/>
  <c r="I130" i="14"/>
  <c r="I131" i="14"/>
  <c r="I132" i="14"/>
  <c r="I133" i="14"/>
  <c r="I134" i="14"/>
  <c r="I135" i="14"/>
  <c r="I136" i="14"/>
  <c r="I137" i="14"/>
  <c r="I138" i="14"/>
  <c r="I139" i="14"/>
  <c r="I140" i="14"/>
  <c r="I141" i="14"/>
  <c r="I142" i="14"/>
  <c r="I143" i="14"/>
  <c r="I144" i="14"/>
  <c r="I145" i="14"/>
  <c r="I146" i="14"/>
  <c r="I147" i="14"/>
  <c r="I148" i="14"/>
  <c r="I149" i="14"/>
  <c r="I150" i="14"/>
  <c r="I151" i="14"/>
  <c r="I152" i="14"/>
  <c r="I153" i="14"/>
  <c r="I154" i="14"/>
  <c r="I155" i="14"/>
  <c r="I156" i="14"/>
  <c r="I157" i="14"/>
  <c r="I158" i="14"/>
  <c r="I159" i="14"/>
  <c r="I160" i="14"/>
  <c r="I161" i="14"/>
  <c r="I162" i="14"/>
  <c r="I163" i="14"/>
  <c r="I164" i="14"/>
  <c r="I165" i="14"/>
  <c r="I166" i="14"/>
  <c r="I167" i="14"/>
  <c r="I168" i="14"/>
  <c r="I169" i="14"/>
  <c r="I170" i="14"/>
  <c r="I171" i="14"/>
  <c r="I172" i="14"/>
  <c r="I173" i="14"/>
  <c r="I174" i="14"/>
  <c r="I175" i="14"/>
  <c r="I176" i="14"/>
  <c r="I177" i="14"/>
  <c r="I178" i="14"/>
  <c r="I179" i="14"/>
  <c r="I180" i="14"/>
  <c r="I181" i="14"/>
  <c r="I182" i="14"/>
  <c r="I183" i="14"/>
  <c r="I184" i="14"/>
  <c r="I185" i="14"/>
  <c r="I186" i="14"/>
  <c r="I187" i="14"/>
  <c r="I188" i="14"/>
  <c r="I189" i="14"/>
  <c r="I190" i="14"/>
  <c r="I191" i="14"/>
  <c r="I192" i="14"/>
  <c r="I193" i="14"/>
  <c r="I194" i="14"/>
  <c r="I195" i="14"/>
  <c r="I196" i="14"/>
  <c r="I197" i="14"/>
  <c r="I198" i="14"/>
  <c r="I199" i="14"/>
  <c r="I200" i="14"/>
  <c r="I201" i="14"/>
  <c r="I202" i="14"/>
  <c r="I203" i="14"/>
  <c r="I204" i="14"/>
  <c r="I2" i="14"/>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2" i="17"/>
  <c r="G53" i="14"/>
  <c r="G7" i="14"/>
  <c r="G4" i="14"/>
  <c r="G5" i="14"/>
  <c r="G11" i="14"/>
  <c r="G9" i="14"/>
  <c r="G10" i="14"/>
  <c r="G2" i="14"/>
  <c r="G12" i="14"/>
  <c r="G13" i="14"/>
  <c r="G14" i="14"/>
  <c r="G21" i="14"/>
  <c r="G19" i="14"/>
  <c r="G28" i="14"/>
  <c r="G24" i="14"/>
  <c r="G16" i="14"/>
  <c r="G25" i="14"/>
  <c r="G17" i="14"/>
  <c r="G30" i="14"/>
  <c r="G26" i="14"/>
  <c r="G23" i="14"/>
  <c r="G31" i="14"/>
  <c r="G27" i="14"/>
  <c r="G29" i="14"/>
  <c r="G20" i="14"/>
  <c r="G18" i="14"/>
  <c r="G15" i="14"/>
  <c r="G43" i="14"/>
  <c r="G98" i="14"/>
  <c r="G38" i="14"/>
  <c r="G33" i="14"/>
  <c r="G32" i="14"/>
  <c r="G177" i="14"/>
  <c r="G35" i="14"/>
  <c r="G36" i="14"/>
  <c r="G41" i="14"/>
  <c r="G39" i="14"/>
  <c r="G40" i="14"/>
  <c r="G44" i="14"/>
  <c r="G37" i="14"/>
  <c r="G80" i="14"/>
  <c r="G45" i="14"/>
  <c r="G46" i="14"/>
  <c r="G47" i="14"/>
  <c r="G51" i="14"/>
  <c r="G49" i="14"/>
  <c r="G50" i="14"/>
  <c r="G52" i="14"/>
  <c r="G54" i="14"/>
  <c r="G55" i="14"/>
  <c r="G164" i="14"/>
  <c r="G72" i="14"/>
  <c r="G58" i="14"/>
  <c r="G174" i="14"/>
  <c r="G61" i="14"/>
  <c r="G60" i="14"/>
  <c r="G62" i="14"/>
  <c r="G64" i="14"/>
  <c r="G66" i="14"/>
  <c r="G48" i="14"/>
  <c r="G67" i="14"/>
  <c r="G68" i="14"/>
  <c r="G73" i="14"/>
  <c r="G75" i="14"/>
  <c r="G74" i="14"/>
  <c r="G76" i="14"/>
  <c r="G69" i="14"/>
  <c r="G71" i="14"/>
  <c r="G77" i="14"/>
  <c r="G81" i="14"/>
  <c r="G79" i="14"/>
  <c r="G78" i="14"/>
  <c r="G82" i="14"/>
  <c r="G88" i="14"/>
  <c r="G84" i="14"/>
  <c r="G83" i="14"/>
  <c r="G86" i="14"/>
  <c r="G87" i="14"/>
  <c r="G85" i="14"/>
  <c r="G89" i="14"/>
  <c r="G90" i="14"/>
  <c r="G91" i="14"/>
  <c r="G93" i="14"/>
  <c r="G92" i="14"/>
  <c r="G94" i="14"/>
  <c r="G95" i="14"/>
  <c r="G96" i="14"/>
  <c r="G99" i="14"/>
  <c r="G101" i="14"/>
  <c r="G200" i="14"/>
  <c r="G102" i="14"/>
  <c r="G97" i="14"/>
  <c r="G103" i="14"/>
  <c r="G113" i="14"/>
  <c r="G104" i="14"/>
  <c r="G110" i="14"/>
  <c r="G105" i="14"/>
  <c r="G106" i="14"/>
  <c r="G108" i="14"/>
  <c r="G111" i="14"/>
  <c r="G112" i="14"/>
  <c r="G114" i="14"/>
  <c r="G118" i="14"/>
  <c r="G131" i="14"/>
  <c r="G132" i="14"/>
  <c r="G119" i="14"/>
  <c r="G123" i="14"/>
  <c r="G124" i="14"/>
  <c r="G121" i="14"/>
  <c r="G129" i="14"/>
  <c r="G130" i="14"/>
  <c r="G120" i="14"/>
  <c r="G63" i="14"/>
  <c r="G117" i="14"/>
  <c r="G116" i="14"/>
  <c r="G127" i="14"/>
  <c r="G126" i="14"/>
  <c r="G115" i="14"/>
  <c r="G128" i="14"/>
  <c r="G125" i="14"/>
  <c r="G133" i="14"/>
  <c r="G140" i="14"/>
  <c r="G139" i="14"/>
  <c r="G137" i="14"/>
  <c r="G141" i="14"/>
  <c r="G136" i="14"/>
  <c r="G134" i="14"/>
  <c r="G135" i="14"/>
  <c r="G122" i="14"/>
  <c r="G138" i="14"/>
  <c r="G142" i="14"/>
  <c r="G143" i="14"/>
  <c r="G147" i="14"/>
  <c r="G153" i="14"/>
  <c r="G144" i="14"/>
  <c r="G148" i="14"/>
  <c r="G151" i="14"/>
  <c r="G152" i="14"/>
  <c r="G145" i="14"/>
  <c r="G146" i="14"/>
  <c r="G149" i="14"/>
  <c r="G150" i="14"/>
  <c r="G154" i="14"/>
  <c r="G155" i="14"/>
  <c r="G156" i="14"/>
  <c r="G157" i="14"/>
  <c r="G199" i="14"/>
  <c r="G165" i="14"/>
  <c r="G169" i="14"/>
  <c r="G158" i="14"/>
  <c r="G160" i="14"/>
  <c r="G167" i="14"/>
  <c r="G175" i="14"/>
  <c r="G163" i="14"/>
  <c r="G161" i="14"/>
  <c r="G171" i="14"/>
  <c r="G172" i="14"/>
  <c r="G162" i="14"/>
  <c r="G166" i="14"/>
  <c r="G202" i="14"/>
  <c r="G168" i="14"/>
  <c r="G57" i="14"/>
  <c r="G109" i="14"/>
  <c r="G100" i="14"/>
  <c r="G107" i="14"/>
  <c r="G195" i="14"/>
  <c r="G170" i="14"/>
  <c r="G173" i="14"/>
  <c r="G34" i="14"/>
  <c r="G176" i="14"/>
  <c r="G188" i="14"/>
  <c r="G180" i="14"/>
  <c r="G189" i="14"/>
  <c r="G179" i="14"/>
  <c r="G22" i="14"/>
  <c r="G70" i="14"/>
  <c r="G182" i="14"/>
  <c r="G178" i="14"/>
  <c r="G183" i="14"/>
  <c r="G184" i="14"/>
  <c r="G185" i="14"/>
  <c r="G186" i="14"/>
  <c r="G181" i="14"/>
  <c r="G187" i="14"/>
  <c r="G190" i="14"/>
  <c r="G191" i="14"/>
  <c r="G8" i="14"/>
  <c r="G65" i="14"/>
  <c r="G193" i="14"/>
  <c r="G192" i="14"/>
  <c r="G194" i="14"/>
  <c r="G198" i="14"/>
  <c r="G196" i="14"/>
  <c r="G197" i="14"/>
  <c r="G201" i="14"/>
  <c r="G203" i="14"/>
  <c r="G204" i="14"/>
  <c r="G6"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tc={B7A3C04F-4128-4B4F-A021-56D45181988D}</author>
    <author>tc={C71FE2EF-C457-44D6-AF41-42BF93B6FA1B}</author>
    <author>tc={98702F3D-0D99-4937-8C61-6A9746730B5E}</author>
    <author>tc={A956610D-7E12-429F-ADEB-4753A928A34D}</author>
    <author>tc={81369187-5444-4230-A8D1-75C4C9163BB0}</author>
    <author>tc={4A3EE8AB-AC42-5346-92FA-79C15476CB53}</author>
    <author>tc={BB1098A0-623B-4CF9-BB6A-BAD8141A8E00}</author>
    <author>tc={214B6C9D-C124-41B4-AADB-6D5221AA398E}</author>
    <author>tc={5E88D9C5-C820-4AA4-B125-02E0F7683C0A}</author>
    <author>tc={C11077FF-95C6-4815-9309-D0730A730EE3}</author>
    <author>tc={B175E5A2-BD6D-4D89-B7EA-22550D96D03D}</author>
    <author>tc={854F69F4-A792-4136-A1B1-842C84B930D7}</author>
    <author>tc={E497001B-AB82-476C-AFF4-637404AE1F65}</author>
    <author>tc={9D8CC2CC-E94D-4844-8C47-818AE36DE8E0}</author>
    <author>tc={8D9AFEF0-C293-F444-9778-B6D4176B156B}</author>
    <author>tc={C1F883A4-FE1E-4B2D-86DF-F9E4261DB62F}</author>
    <author>tc={0CCA1028-CB81-45CE-986A-13F150D5B1D4}</author>
    <author>tc={21DC50B6-727D-463E-BF65-01EFA8A12348}</author>
    <author>tc={1CF64B3F-7C32-3941-AF13-EB3E7DF41727}</author>
    <author>tc={B25169F2-CE6F-49FF-BC96-7FBF5C318933}</author>
    <author>tc={00AB8AB0-085F-46FA-83CB-49BC120227C1}</author>
    <author>tc={28924442-9188-47ED-9747-7FAD21445302}</author>
    <author>tc={8F670E75-48AD-49B3-B351-0513B064B61D}</author>
    <author>tc={4092E79D-1AFD-4E68-BA0E-C88D2A495779}</author>
    <author>tc={9E82AF9D-0B56-474D-A14A-F55B46BA6C62}</author>
    <author>tc={7623BBA0-C1D2-124C-885D-3F3F24C9629B}</author>
    <author>tc={4D62CD38-5661-4657-865C-6F9DDD957A9C}</author>
    <author>tc={09D3ADDE-B866-4A25-96F8-92C7E3250D45}</author>
    <author>tc={3786F3C0-6B35-EA40-9AFC-5D92081C8855}</author>
    <author>tc={97A2C443-1D46-48C4-8403-C3A163716538}</author>
    <author>tc={16A98E0E-993C-4677-BAE0-1253494660CB}</author>
    <author>tc={B50BEBBC-4367-014E-BE39-16ACC17658F9}</author>
    <author>tc={C5DF9CA1-4AC7-46A2-B884-A8D8A92F9B47}</author>
    <author>tc={73F67FF9-76D4-471F-8EB5-D9D0669CECBE}</author>
    <author>tc={C3930888-0DB5-4A68-BACA-0AB07AB712F3}</author>
    <author>tc={C2E3FCD5-2F19-459D-8EEB-6905791E0831}</author>
    <author>tc={02F31D4E-EABC-4183-835C-FC9D10FE4761}</author>
    <author>tc={79C2A585-0E9C-F647-8716-32C184A49A0E}</author>
    <author>tc={2A6A4765-C485-4E15-AE5D-A8F0F24734E5}</author>
    <author>tc={22672847-A86A-482C-94BB-B0F643B0793C}</author>
    <author>tc={41719FDE-E612-4305-89B4-1024F0B24175}</author>
    <author>tc={88C8D88C-5683-4D7E-915D-6FFBB5A238C3}</author>
    <author>tc={5A167B4C-372A-4CFD-8862-FA374890A996}</author>
    <author>tc={21D05DA1-C79B-49FD-BE6C-660267EB3724}</author>
    <author>tc={4432761E-7E31-422B-8CDE-0707A978EC91}</author>
    <author>tc={C47627DC-2462-4735-807B-04397B6FD8E1}</author>
    <author>tc={A2F58A91-088F-4F89-90A9-92FED1BEA970}</author>
    <author>tc={0FFB0E7D-3214-43DC-84B6-DD2B3F3FE8CF}</author>
    <author>tc={33C2D80D-A8A6-4119-B5E8-167B85C70852}</author>
    <author>tc={586A79FF-C558-4DD4-BBCA-54A0ED487D2C}</author>
    <author>tc={2EB11A4B-C9F0-4409-BCFF-1C6BE27A9A36}</author>
    <author>tc={07D6D6CA-C10D-4C14-B9BD-78EC52C1CCB0}</author>
    <author>tc={14E077BF-84B3-404F-BA69-CBA727A953FD}</author>
    <author>tc={C3BEDE5A-C721-49EC-B056-51564A355AD4}</author>
    <author>tc={BE2619F3-7208-4637-BA80-A1D1888860FB}</author>
    <author>tc={7E76812F-350F-48E8-91B0-9E3A17EE258B}</author>
    <author>tc={FA36CC81-C59C-FA4E-A193-F9FD41BE2328}</author>
    <author>tc={C341D00E-FC9A-AC4E-9799-90E8388B0FE1}</author>
    <author>tc={36EFE86F-F3BE-4790-A45C-970A802CAEEE}</author>
    <author>tc={0EE821A2-F231-429E-8838-63684AC3F57A}</author>
    <author>tc={F2924A6F-3BBF-425C-89D8-AE3204113C46}</author>
    <author>tc={D26B7375-F12A-5A4A-B4BB-C8A163FA0028}</author>
    <author>tc={8DFEF3DE-CC02-4510-AF8D-C7A26218ADFC}</author>
  </authors>
  <commentList>
    <comment ref="D2" authorId="0" shapeId="0" xr:uid="{B7A3C04F-4128-4B4F-A021-56D45181988D}">
      <text>
        <t xml:space="preserve">[Threaded comment]
Your version of Excel allows you to read this threaded comment; however, any edits to it will get removed if the file is opened in a newer version of Excel. Learn more: https://go.microsoft.com/fwlink/?linkid=870924
Comment:
    @Lindsay don’t include because we are looking at the recognition of gender specifically within strategies, not on the broader website. </t>
      </text>
    </comment>
    <comment ref="K7" authorId="1" shapeId="0" xr:uid="{C71FE2EF-C457-44D6-AF41-42BF93B6FA1B}">
      <text>
        <t>[Threaded comment]
Your version of Excel allows you to read this threaded comment; however, any edits to it will get removed if the file is opened in a newer version of Excel. Learn more: https://go.microsoft.com/fwlink/?linkid=870924
Comment:
    Not sure if this should be yes or no?
Reply:
    It should be yes, because if you click on each activity, there is a program/plan for statistical activities</t>
      </text>
    </comment>
    <comment ref="D10" authorId="2" shapeId="0" xr:uid="{98702F3D-0D99-4937-8C61-6A9746730B5E}">
      <text>
        <t>[Threaded comment]
Your version of Excel allows you to read this threaded comment; however, any edits to it will get removed if the file is opened in a newer version of Excel. Learn more: https://go.microsoft.com/fwlink/?linkid=870924
Comment:
    See plans here https://armstat.am/am/?nid=719</t>
      </text>
    </comment>
    <comment ref="A15" authorId="3" shapeId="0" xr:uid="{A956610D-7E12-429F-ADEB-4753A928A34D}">
      <text>
        <t>[Threaded comment]
Your version of Excel allows you to read this threaded comment; however, any edits to it will get removed if the file is opened in a newer version of Excel. Learn more: https://go.microsoft.com/fwlink/?linkid=870924
Comment:
    https://mininterinfos.gov.bi/la-strategie-sectorielle-de-developpement-de-la-statistique-du-midcsp-2021-2026/ might be this one? unclear
Reply:
    After talking w Tawheeda, this is not the correct one. She found this from june 2025 that says there is an NSDS 2022-2026, but it isn’t  live: https://x.com/INSBURUNDI/status/1919748061338693642 
Reply:
    In the meantime, could use their CRESS https://www.insbu.bi/documents/rapportPays/CRESS_2023.pdf</t>
      </text>
    </comment>
    <comment ref="D15" authorId="4" shapeId="0" xr:uid="{81369187-5444-4230-A8D1-75C4C9163BB0}">
      <text>
        <t>[Threaded comment]
Your version of Excel allows you to read this threaded comment; however, any edits to it will get removed if the file is opened in a newer version of Excel. Learn more: https://go.microsoft.com/fwlink/?linkid=870924
Comment:
    Have a more recent sectoral strategy, but not the same as SNDS-III https://mininterinfos.gov.bi/la-strategie-sectorielle-de-developpement-de-la-statistique-du-midcsp-2021-2026/</t>
      </text>
    </comment>
    <comment ref="U17" authorId="5" shapeId="0" xr:uid="{4A3EE8AB-AC42-5346-92FA-79C15476CB53}">
      <text>
        <t>[Threaded comment]
Your version of Excel allows you to read this threaded comment; however, any edits to it will get removed if the file is opened in a newer version of Excel. Learn more: https://go.microsoft.com/fwlink/?linkid=870924
Comment:
    Each time a statistical approach gender is relevant, it is important to ensure that it is effectively implemented works within the limits of available funding. This obviously concerns the entire field of demographic and social statistics, but also more and more economic statistics analyzed from a gender perspective in terms of responsibility of the statistical units studied (agricultural businesses, informal businesses, etc.) and in a manner more generally the entire statistical field where this approach is relevant and fertile (pg. 36)
also breaks down how much each sector contributes (hard number) and the "structures responsible" (pg. 75 - RA 1.3.2 Monitoring of statistical production at sectoral level is effective)</t>
      </text>
    </comment>
    <comment ref="P18" authorId="6" shapeId="0" xr:uid="{BB1098A0-623B-4CF9-BB6A-BAD8141A8E00}">
      <text>
        <t>[Threaded comment]
Your version of Excel allows you to read this threaded comment; however, any edits to it will get removed if the file is opened in a newer version of Excel. Learn more: https://go.microsoft.com/fwlink/?linkid=870924
Comment:
    This budget is a bit confusing to interpret b/c there are a ton of individual gender-related actions but also some results in bold with what appear to be totals - not sure which to include, and I don't want to over or under state the budget. Ask Tawheeda about this when she is back - leaving the rest blank for now.</t>
      </text>
    </comment>
    <comment ref="A19" authorId="7" shapeId="0" xr:uid="{214B6C9D-C124-41B4-AADB-6D5221AA398E}">
      <text>
        <t>[Threaded comment]
Your version of Excel allows you to read this threaded comment; however, any edits to it will get removed if the file is opened in a newer version of Excel. Learn more: https://go.microsoft.com/fwlink/?linkid=870924
Comment:
    Found World Bank document about their assistance w the implementation of the new Strategy, but not the new Strategy itself https://documents1.worldbank.org/curated/en/099749501042411484/pdf/IDU10e92578f1f5ed14e881aa5a1d6e5be5923f9.pdf</t>
      </text>
    </comment>
    <comment ref="D19" authorId="8" shapeId="0" xr:uid="{5E88D9C5-C820-4AA4-B125-02E0F7683C0A}">
      <text>
        <t>[Threaded comment]
Your version of Excel allows you to read this threaded comment; however, any edits to it will get removed if the file is opened in a newer version of Excel. Learn more: https://go.microsoft.com/fwlink/?linkid=870924
Comment:
    Implementation review http://nsds.bbs.gov.bd/storage/files/1/Publications/NSDS/An%20Assessment%20of%20National%20Strategy%20for%20the%20Development%20of%20Statistics%20(NSDS)%202013-2013.pdf</t>
      </text>
    </comment>
    <comment ref="A25" authorId="9" shapeId="0" xr:uid="{C11077FF-95C6-4815-9309-D0730A730EE3}">
      <text>
        <t>[Threaded comment]
Your version of Excel allows you to read this threaded comment; however, any edits to it will get removed if the file is opened in a newer version of Excel. Learn more: https://go.microsoft.com/fwlink/?linkid=870924
Comment:
    They launched the new NSDS last month - I was only able to find this summary report of it, not the whole thing,</t>
      </text>
    </comment>
    <comment ref="D29" authorId="10" shapeId="0" xr:uid="{B175E5A2-BD6D-4D89-B7EA-22550D96D03D}">
      <text>
        <t>[Threaded comment]
Your version of Excel allows you to read this threaded comment; however, any edits to it will get removed if the file is opened in a newer version of Excel. Learn more: https://go.microsoft.com/fwlink/?linkid=870924
Comment:
    All I could find: https://deps.mofe.gov.bn/SitePages/Statistics.aspx
Reply:
    I wouldn’t include this. This seems to be more of an about us— which some NSOs also have a mission, vision.</t>
      </text>
    </comment>
    <comment ref="F30" authorId="11" shapeId="0" xr:uid="{854F69F4-A792-4136-A1B1-842C84B930D7}">
      <text>
        <t>[Threaded comment]
Your version of Excel allows you to read this threaded comment; however, any edits to it will get removed if the file is opened in a newer version of Excel. Learn more: https://go.microsoft.com/fwlink/?linkid=870924
Comment:
    Unable to provide direct download link, but this is the landing page</t>
      </text>
    </comment>
    <comment ref="N30" authorId="12" shapeId="0" xr:uid="{E497001B-AB82-476C-AFF4-637404AE1F65}">
      <text>
        <t>[Threaded comment]
Your version of Excel allows you to read this threaded comment; however, any edits to it will get removed if the file is opened in a newer version of Excel. Learn more: https://go.microsoft.com/fwlink/?linkid=870924
Comment:
    One of the strategy items is to publish more disaggregated data (and it does have budget amount for that), but does not directly mention gender, sex, women, etc.</t>
      </text>
    </comment>
    <comment ref="E32" authorId="13" shapeId="0" xr:uid="{9D8CC2CC-E94D-4844-8C47-818AE36DE8E0}">
      <text>
        <t>[Threaded comment]
Your version of Excel allows you to read this threaded comment; however, any edits to it will get removed if the file is opened in a newer version of Excel. Learn more: https://go.microsoft.com/fwlink/?linkid=870924
Comment:
    We have 2021-2025 https://afristat.org/wp-content/uploads/2022/04/6_RCA_SNDS-2021-2025-Finalisee.pdf</t>
      </text>
    </comment>
    <comment ref="W32" authorId="14" shapeId="0" xr:uid="{8D9AFEF0-C293-F444-9778-B6D4176B156B}">
      <text>
        <t>[Threaded comment]
Your version of Excel allows you to read this threaded comment; however, any edits to it will get removed if the file is opened in a newer version of Excel. Learn more: https://go.microsoft.com/fwlink/?linkid=870924
Comment:
    Budget is broken down by state and technical and financial partners acquired. For the 3 activities listed, the first one is all from donors, the second is 10 million FCFA state and 15 million FCFA donors, and the third is 15 million FCFA state and 51 million FCFA donors
Reply:
    Operational objective 3.1.2:
Promote the disintegration of data according to gender and geographical levels has lion share of budget coming from T/F funders (pg. 52)</t>
      </text>
    </comment>
    <comment ref="A37" authorId="15" shapeId="0" xr:uid="{C1F883A4-FE1E-4B2D-86DF-F9E4261DB62F}">
      <text>
        <t>[Threaded comment]
Your version of Excel allows you to read this threaded comment; however, any edits to it will get removed if the file is opened in a newer version of Excel. Learn more: https://go.microsoft.com/fwlink/?linkid=870924
Comment:
    There’s a page on their site about the “Atelier de lancement” (launch workshop) of the NSDS 2026-2023, but I was unable to find the actual document. I’m also not sure if it exists yet - unclear to me what a launch workshop means ?</t>
      </text>
    </comment>
    <comment ref="E38" authorId="16" shapeId="0" xr:uid="{0CCA1028-CB81-45CE-986A-13F150D5B1D4}">
      <text>
        <t>[Threaded comment]
Your version of Excel allows you to read this threaded comment; however, any edits to it will get removed if the file is opened in a newer version of Excel. Learn more: https://go.microsoft.com/fwlink/?linkid=870924
Comment:
    Have this document https://www.afristat.org/wp-content/uploads/2023/06/SNDS30_Cameroun.pdf</t>
      </text>
    </comment>
    <comment ref="E40" authorId="17" shapeId="0" xr:uid="{21DC50B6-727D-463E-BF65-01EFA8A12348}">
      <text>
        <t>[Threaded comment]
Your version of Excel allows you to read this threaded comment; however, any edits to it will get removed if the file is opened in a newer version of Excel. Learn more: https://go.microsoft.com/fwlink/?linkid=870924
Comment:
    Found 2022 -2026 strategy https://www.afristat.org/wp-content/uploads/2023/06/SNDS_2022-2026_Congo.pdf</t>
      </text>
    </comment>
    <comment ref="U40" authorId="18" shapeId="0" xr:uid="{1CF64B3F-7C32-3941-AF13-EB3E7DF41727}">
      <text>
        <t>[Threaded comment]
Your version of Excel allows you to read this threaded comment; however, any edits to it will get removed if the file is opened in a newer version of Excel. Learn more: https://go.microsoft.com/fwlink/?linkid=870924
Comment:
    The production of gender statistics being promoted is divided into 300,00 from the state and 15,00 from PTF (pg. 59)</t>
      </text>
    </comment>
    <comment ref="E49" authorId="19" shapeId="0" xr:uid="{B25169F2-CE6F-49FF-BC96-7FBF5C318933}">
      <text>
        <t>[Threaded comment]
Your version of Excel allows you to read this threaded comment; however, any edits to it will get removed if the file is opened in a newer version of Excel. Learn more: https://go.microsoft.com/fwlink/?linkid=870924
Comment:
    Updated strategy https://www.afristat.org/wp-content/uploads/2023/06/SNDS_2018-2022_Djibouti.pdf</t>
      </text>
    </comment>
    <comment ref="Q49" authorId="20" shapeId="0" xr:uid="{00AB8AB0-085F-46FA-83CB-49BC120227C1}">
      <text>
        <t>[Threaded comment]
Your version of Excel allows you to read this threaded comment; however, any edits to it will get removed if the file is opened in a newer version of Excel. Learn more: https://go.microsoft.com/fwlink/?linkid=870924
Comment:
    Double check this - there are two items titled AM.2.1.3 and both have a different total. I did the total for the one with the title I specified in the comment in the first cell, but unsure if they should have been combined or if it was an error in numbering.
Reply:
    Checked. The amount goes up significantly if you include the violence against women survey elsewhere in the budget</t>
      </text>
    </comment>
    <comment ref="R49" authorId="21" shapeId="0" xr:uid="{28924442-9188-47ED-9747-7FAD21445302}">
      <text>
        <t>[Threaded comment]
Your version of Excel allows you to read this threaded comment; however, any edits to it will get removed if the file is opened in a newer version of Excel. Learn more: https://go.microsoft.com/fwlink/?linkid=870924
Comment:
    It says “en dollars” - I assume this is USD but never clarifies. The djibouti currency is franc.</t>
      </text>
    </comment>
    <comment ref="P57" authorId="22" shapeId="0" xr:uid="{8F670E75-48AD-49B3-B351-0513B064B61D}">
      <text>
        <t>[Threaded comment]
Your version of Excel allows you to read this threaded comment; however, any edits to it will get removed if the file is opened in a newer version of Excel. Learn more: https://go.microsoft.com/fwlink/?linkid=870924
Comment:
    note: there are additional activities that don't include a keyword in the title (e.g., 8918 Survey of Homeless People on pg. 169 of the pdf) but include sex as a main disaggregation variable. Should these be included too? (There will be a lot)</t>
      </text>
    </comment>
    <comment ref="Q57" authorId="23" shapeId="0" xr:uid="{4092E79D-1AFD-4E68-BA0E-C88D2A495779}">
      <text>
        <t>[Threaded comment]
Your version of Excel allows you to read this threaded comment; however, any edits to it will get removed if the file is opened in a newer version of Excel. Learn more: https://go.microsoft.com/fwlink/?linkid=870924
Comment:
    this total is based on only the activities listed in column Q that have gender/women/sex in the title of the operation</t>
      </text>
    </comment>
    <comment ref="F59" authorId="24" shapeId="0" xr:uid="{9E82AF9D-0B56-474D-A14A-F55B46BA6C62}">
      <text>
        <t>[Threaded comment]
Your version of Excel allows you to read this threaded comment; however, any edits to it will get removed if the file is opened in a newer version of Excel. Learn more: https://go.microsoft.com/fwlink/?linkid=870924
Comment:
    Website not loading 11/5 cannot check estimates</t>
      </text>
    </comment>
    <comment ref="W59" authorId="25" shapeId="0" xr:uid="{7623BBA0-C1D2-124C-885D-3F3F24C9629B}">
      <text>
        <t>[Threaded comment]
Your version of Excel allows you to read this threaded comment; however, any edits to it will get removed if the file is opened in a newer version of Excel. Learn more: https://go.microsoft.com/fwlink/?linkid=870924
Comment:
    Though the budget is broken down into government (recurrent or capital) and donor funding, the sub-theme of gender is exclusively funded by other donors. (Pg. 141)</t>
      </text>
    </comment>
    <comment ref="M66" authorId="26" shapeId="0" xr:uid="{4D62CD38-5661-4657-865C-6F9DDD957A9C}">
      <text>
        <t>[Threaded comment]
Your version of Excel allows you to read this threaded comment; however, any edits to it will get removed if the file is opened in a newer version of Excel. Learn more: https://go.microsoft.com/fwlink/?linkid=870924
Comment:
    pg. 15 says action plan has ben prepared with a budget, but I can't find it online.</t>
      </text>
    </comment>
    <comment ref="P67" authorId="27" shapeId="0" xr:uid="{09D3ADDE-B866-4A25-96F8-92C7E3250D45}">
      <text>
        <t>[Threaded comment]
Your version of Excel allows you to read this threaded comment; however, any edits to it will get removed if the file is opened in a newer version of Excel. Learn more: https://go.microsoft.com/fwlink/?linkid=870924
Comment:
    Note that these are sub-components of the broader strategies that mention gender, but I chose to not include the budget for the whole broad strategy and only include those for line-items which explicitly involve gender, to avoid overestimation.</t>
      </text>
    </comment>
    <comment ref="U68" authorId="28" shapeId="0" xr:uid="{3786F3C0-6B35-EA40-9AFC-5D92081C8855}">
      <text>
        <t>[Threaded comment]
Your version of Excel allows you to read this threaded comment; however, any edits to it will get removed if the file is opened in a newer version of Excel. Learn more: https://go.microsoft.com/fwlink/?linkid=870924
Comment:
    The budget highlights “responsible agencies” but it is unclear if this is related to funding or activity implementation. Regardless, there has been no budget allotted for Objective 10 - Conduct gender data needs /gaps assessment and address disparities to inform policy decisions since 2020.</t>
      </text>
    </comment>
    <comment ref="A69" authorId="29" shapeId="0" xr:uid="{97A2C443-1D46-48C4-8403-C3A163716538}">
      <text>
        <t>[Threaded comment]
Your version of Excel allows you to read this threaded comment; however, any edits to it will get removed if the file is opened in a newer version of Excel. Learn more: https://go.microsoft.com/fwlink/?linkid=870924
Comment:
    I found an article and the launch of the validation of the SNDS 2021-2025, but couldn’t find the doc itself: https://www.stat-guinee.org/index.php/actu/294-atelier-de-validation-de-snds-2021-2026</t>
      </text>
    </comment>
    <comment ref="E72" authorId="30" shapeId="0" xr:uid="{16A98E0E-993C-4677-BAE0-1253494660CB}">
      <text>
        <t>[Threaded comment]
Your version of Excel allows you to read this threaded comment; however, any edits to it will get removed if the file is opened in a newer version of Excel. Learn more: https://go.microsoft.com/fwlink/?linkid=870924
Comment:
    See if this link works for anyone else https://inege.gq/index.php/estrategia-nacional-de-desarrollo-de-la-estadistica-de-guinea-ecuatorial-2022-2026/</t>
      </text>
    </comment>
    <comment ref="U72" authorId="31" shapeId="0" xr:uid="{B50BEBBC-4367-014E-BE39-16ACC17658F9}">
      <text>
        <t>[Threaded comment]
Your version of Excel allows you to read this threaded comment; however, any edits to it will get removed if the file is opened in a newer version of Excel. Learn more: https://go.microsoft.com/fwlink/?linkid=870924
Comment:
    Fund distribution is distinguished between “public” and “private” funds. I have made the assumption that “public funds” would be external funders, and “private funds” come from internal funders.
Reply:
    Pg. 89</t>
      </text>
    </comment>
    <comment ref="A96" authorId="32" shapeId="0" xr:uid="{C5DF9CA1-4AC7-46A2-B884-A8D8A92F9B47}">
      <text>
        <t>[Threaded comment]
Your version of Excel allows you to read this threaded comment; however, any edits to it will get removed if the file is opened in a newer version of Excel. Learn more: https://go.microsoft.com/fwlink/?linkid=870924
Comment:
    There is budget info: Table 7.1, pg. 57 (more general, doesn’t mention gender); Annex I (Action plan implementation matrix) (pgs. 64-99); Annex II Summary of Surveys and Censues 2023-2027 (pgs. 100-111). Did not add this bc wasn’t sure which would be best. There is data on the cost for activities related to gender the surveys related to gender in these annexes but no “total” line. I did not fill out the info based on these bc I was unsure which to refer to (I assume that there might be double counting if I used both annexes).</t>
      </text>
    </comment>
    <comment ref="Q96" authorId="33" shapeId="0" xr:uid="{73F67FF9-76D4-471F-8EB5-D9D0669CECBE}">
      <text>
        <t>[Threaded comment]
Your version of Excel allows you to read this threaded comment; however, any edits to it will get removed if the file is opened in a newer version of Excel. Learn more: https://go.microsoft.com/fwlink/?linkid=870924
Comment:
    Double check the math on this one, it got out of hand quickly bc of the large numbers</t>
      </text>
    </comment>
    <comment ref="A99" authorId="34" shapeId="0" xr:uid="{C3930888-0DB5-4A68-BACA-0AB07AB712F3}">
      <text>
        <t xml:space="preserve">[Threaded comment]
Your version of Excel allows you to read this threaded comment; however, any edits to it will get removed if the file is opened in a newer version of Excel. Learn more: https://go.microsoft.com/fwlink/?linkid=870924
Comment:
    I found some articles on their NSO site and the SPC site referencing that they have their first ever NSDS, but was unable to actually find it (https://sdd.spc.int/news/2025/06/30/kiribati-power-data-landmark-statistics-launch-drive-kiribatis-development-pacific and https://nso.gov.ki/statistics/economy/ </t>
      </text>
    </comment>
    <comment ref="A100" authorId="35" shapeId="0" xr:uid="{C2E3FCD5-2F19-459D-8EEB-6905791E0831}">
      <text>
        <t>[Threaded comment]
Your version of Excel allows you to read this threaded comment; however, any edits to it will get removed if the file is opened in a newer version of Excel. Learn more: https://go.microsoft.com/fwlink/?linkid=870924
Comment:
    Since the linked NSDS isn't specific to the country, should we say a plan is not available?
Reply:
    Yes</t>
      </text>
    </comment>
    <comment ref="A109" authorId="36" shapeId="0" xr:uid="{02F31D4E-EABC-4183-835C-FC9D10FE4761}">
      <text>
        <t>[Threaded comment]
Your version of Excel allows you to read this threaded comment; however, any edits to it will get removed if the file is opened in a newer version of Excel. Learn more: https://go.microsoft.com/fwlink/?linkid=870924
Comment:
    I found a new article from March 2025 saying the strategy is being worked on: https://www.sundaytimes.lk/250323/business-times/national-strategy-for-statistics-development-statistics-act-by-dcs-592687.html</t>
      </text>
    </comment>
    <comment ref="F110" authorId="37" shapeId="0" xr:uid="{79C2A585-0E9C-F647-8716-32C184A49A0E}">
      <text>
        <t>[Threaded comment]
Your version of Excel allows you to read this threaded comment; however, any edits to it will get removed if the file is opened in a newer version of Excel. Learn more: https://go.microsoft.com/fwlink/?linkid=870924
Comment:
    NSDS located on homepage— can’t right click to provide link of the ZIP file</t>
      </text>
    </comment>
    <comment ref="Q110" authorId="38" shapeId="0" xr:uid="{2A6A4765-C485-4E15-AE5D-A8F0F24734E5}">
      <text>
        <t>[Threaded comment]
Your version of Excel allows you to read this threaded comment; however, any edits to it will get removed if the file is opened in a newer version of Excel. Learn more: https://go.microsoft.com/fwlink/?linkid=870924
Comment:
    should be double checked b/c so many gender components.</t>
      </text>
    </comment>
    <comment ref="A112" authorId="39" shapeId="0" xr:uid="{22672847-A86A-482C-94BB-B0F643B0793C}">
      <text>
        <t>[Threaded comment]
Your version of Excel allows you to read this threaded comment; however, any edits to it will get removed if the file is opened in a newer version of Excel. Learn more: https://go.microsoft.com/fwlink/?linkid=870924
Comment:
    should i go through this: https://data.public.lu/en/pages/strategy/ ?
Reply:
    Yes, include it. We’ve included a few open data strategies (Bahrain, HK) in lieu of a statistical strategy or plan. @Lorenz Noe</t>
      </text>
    </comment>
    <comment ref="D118" authorId="40" shapeId="0" xr:uid="{41719FDE-E612-4305-89B4-1024F0B24175}">
      <text>
        <t>[Threaded comment]
Your version of Excel allows you to read this threaded comment; however, any edits to it will get removed if the file is opened in a newer version of Excel. Learn more: https://go.microsoft.com/fwlink/?linkid=870924
Comment:
    Should be here somewhere? https://www.biblio.micc.gov.mg/bspr/2024/04/30/strategie-nationale-de-developpement-de-la-statistiqes-snds-2023-2030/</t>
      </text>
    </comment>
    <comment ref="A123" authorId="41" shapeId="0" xr:uid="{88C8D88C-5683-4D7E-915D-6FFBB5A238C3}">
      <text>
        <t>[Threaded comment]
Your version of Excel allows you to read this threaded comment; however, any edits to it will get removed if the file is opened in a newer version of Excel. Learn more: https://go.microsoft.com/fwlink/?linkid=870924
Comment:
    An article from august 2025 says that the 2025-2029 plan has been submitted for evaluation: https://www.maliweb.net/societe/16eme-session-technique-de-la-revue-annuelle-du-schema-directeur-de-la-statistique-3108322.html</t>
      </text>
    </comment>
    <comment ref="A127" authorId="42" shapeId="0" xr:uid="{5A167B4C-372A-4CFD-8862-FA374890A996}">
      <text>
        <t>[Threaded comment]
Your version of Excel allows you to read this threaded comment; however, any edits to it will get removed if the file is opened in a newer version of Excel. Learn more: https://go.microsoft.com/fwlink/?linkid=870924
Comment:
    scanned PDF in Mongolian. Don't think I can adequately look through this one myself for gender references.</t>
      </text>
    </comment>
    <comment ref="A128" authorId="43" shapeId="0" xr:uid="{21D05DA1-C79B-49FD-BE6C-660267EB3724}">
      <text>
        <t xml:space="preserve">[Threaded comment]
Your version of Excel allows you to read this threaded comment; however, any edits to it will get removed if the file is opened in a newer version of Excel. Learn more: https://go.microsoft.com/fwlink/?linkid=870924
Comment:
    found this article from august 2025 about how there was a technical meeting to discuss the NSDS, but no mention of when it will be available: https://agenciadenoticias.ibge.gov.br/en/agencia-news/2184-news-agency/news/44270-ibge-receives-technical-visit-from-mozambique-to-discuss-strategic-plan </t>
      </text>
    </comment>
    <comment ref="A131" authorId="44" shapeId="0" xr:uid="{4432761E-7E31-422B-8CDE-0707A978EC91}">
      <text>
        <t>[Threaded comment]
Your version of Excel allows you to read this threaded comment; however, any edits to it will get removed if the file is opened in a newer version of Excel. Learn more: https://go.microsoft.com/fwlink/?linkid=870924
Comment:
    the PARIS21 doc says that it's in the design phase</t>
      </text>
    </comment>
    <comment ref="N133" authorId="45" shapeId="0" xr:uid="{C47627DC-2462-4735-807B-04397B6FD8E1}">
      <text>
        <t>[Threaded comment]
Your version of Excel allows you to read this threaded comment; however, any edits to it will get removed if the file is opened in a newer version of Excel. Learn more: https://go.microsoft.com/fwlink/?linkid=870924
Comment:
    Would like a second opinion on this - see line number 6 on page 42 (table 6).</t>
      </text>
    </comment>
    <comment ref="E134" authorId="46" shapeId="0" xr:uid="{A2F58A91-088F-4F89-90A9-92FED1BEA970}">
      <text>
        <t>[Threaded comment]
Your version of Excel allows you to read this threaded comment; however, any edits to it will get removed if the file is opened in a newer version of Excel. Learn more: https://go.microsoft.com/fwlink/?linkid=870924
Comment:
    Have this strategy https://www.afristat.org/wp-content/uploads/2023/06/SNDS-III_Niger.pdf</t>
      </text>
    </comment>
    <comment ref="A135" authorId="47" shapeId="0" xr:uid="{0FFB0E7D-3214-43DC-84B6-DD2B3F3FE8CF}">
      <text>
        <t xml:space="preserve">[Threaded comment]
Your version of Excel allows you to read this threaded comment; however, any edits to it will get removed if the file is opened in a newer version of Excel. Learn more: https://go.microsoft.com/fwlink/?linkid=870924
Comment:
    PARIS21 document says it's being finalized; this presentation says the 2024-2028 plan is "soon to be published" https://unece.org/sites/default/files/2025-05/DC2025_S5_Nigeria_Dzaan%26amp%3BOjo_P.pdf 
Reply:
    i found their Inclusive Data Charter Action Plan 2024-2028, but assume that doesn't count: https://www.data4sdgs.org/sites/default/files/file_uploads/Nigeria%20IDC%20Action%20Plan%202024%20-%202028%20FINAL_0.pdf </t>
      </text>
    </comment>
    <comment ref="Q148" authorId="48" shapeId="0" xr:uid="{33C2D80D-A8A6-4119-B5E8-167B85C70852}">
      <text>
        <t>[Threaded comment]
Your version of Excel allows you to read this threaded comment; however, any edits to it will get removed if the file is opened in a newer version of Excel. Learn more: https://go.microsoft.com/fwlink/?linkid=870924
Comment:
    Need a second opinion on this.</t>
      </text>
    </comment>
    <comment ref="R157" authorId="49" shapeId="0" xr:uid="{586A79FF-C558-4DD4-BBCA-54A0ED487D2C}">
      <text>
        <t>[Threaded comment]
Your version of Excel allows you to read this threaded comment; however, any edits to it will get removed if the file is opened in a newer version of Excel. Learn more: https://go.microsoft.com/fwlink/?linkid=870924
Comment:
    Not 100% sure. There’s a budget that has the USD and RWF (Frw) on Table 8, pg. 91. The budget I was referring to to get the gender estimates was Annex 19, starting on  pg. 135. It doesn’t say whether this is USD or Frw. I assume it’s in Frw because the numbers do not match what is given in USD in Table 8. (it also doesn’t match what’s given in Rfw in Table 8, but it’s significantly closer.)</t>
      </text>
    </comment>
    <comment ref="A160" authorId="50" shapeId="0" xr:uid="{2EB11A4B-C9F0-4409-BCFF-1C6BE27A9A36}">
      <text>
        <t xml:space="preserve">[Threaded comment]
Your version of Excel allows you to read this threaded comment; however, any edits to it will get removed if the file is opened in a newer version of Excel. Learn more: https://go.microsoft.com/fwlink/?linkid=870924
Comment:
    This UN Women document says the 2024-2028 plan was finalized and sent for validation in December 2023 (https://data.unwomen.org/sites/default/files/documents/Women%20Count/Women_Count_Brief_Senegal.pdf &gt; pg. 3) and cites this article (https://lequotidien.sn/systeme-statistique-national-le-dg-de-lansd-predit-une-perspective-prometteuse/?sfw=pass1756128411). I was unable to find this new plan anywhere. The NSO has this document about the planning of it: https://www.statsenegal.sn/sites/default/files/2023-07/SNDSIV.pdf </t>
      </text>
    </comment>
    <comment ref="P160" authorId="51" shapeId="0" xr:uid="{07D6D6CA-C10D-4C14-B9BD-78EC52C1CCB0}">
      <text>
        <t>[Threaded comment]
Your version of Excel allows you to read this threaded comment; however, any edits to it will get removed if the file is opened in a newer version of Excel. Learn more: https://go.microsoft.com/fwlink/?linkid=870924
Comment:
    Lots of gender-related line items, might be helpful if someone else could please double check that I captured everything correctly here.</t>
      </text>
    </comment>
    <comment ref="A168" authorId="52" shapeId="0" xr:uid="{14E077BF-84B3-404F-BA69-CBA727A953FD}">
      <text>
        <t>[Threaded comment]
Your version of Excel allows you to read this threaded comment; however, any edits to it will get removed if the file is opened in a newer version of Excel. Learn more: https://go.microsoft.com/fwlink/?linkid=870924
Comment:
    I found this “Revised National Development Strategy 2024” but it still is just for 2021-2024 https://nbs.gov.ss/wp-content/uploads/2022/06/South-Sudan-NDS_Print-14-June-2022.pdf
Reply:
    Should I update the one that’s currently there? It’s from 2008
Reply:
    That’s a national development strategy, not related directly to statistics</t>
      </text>
    </comment>
    <comment ref="A169" authorId="53" shapeId="0" xr:uid="{C3BEDE5A-C721-49EC-B056-51564A355AD4}">
      <text>
        <t>[Threaded comment]
Your version of Excel allows you to read this threaded comment; however, any edits to it will get removed if the file is opened in a newer version of Excel. Learn more: https://go.microsoft.com/fwlink/?linkid=870924
Comment:
    Facebook post from May about the “launch of the process of elaboration” of the ENDE 2025-2029, but not yet available: https://www.facebook.com/groups/STP.TelaNon/posts/10163245486241122/</t>
      </text>
    </comment>
    <comment ref="A170" authorId="54" shapeId="0" xr:uid="{BE2619F3-7208-4637-BA80-A1D1888860FB}">
      <text>
        <t>[Threaded comment]
Your version of Excel allows you to read this threaded comment; however, any edits to it will get removed if the file is opened in a newer version of Excel. Learn more: https://go.microsoft.com/fwlink/?linkid=870924
Comment:
    Even though it doesn’t seen they have an NSDS, there is a press release from the president in 2020 that says “The President confirms the commit of the General Bureau of Statistics to the National Strategy for the Development of Statistics “ https://worldstatisticsday.org/2020/blog/suriname-president-message-wsd.html</t>
      </text>
    </comment>
    <comment ref="A174" authorId="55" shapeId="0" xr:uid="{7E76812F-350F-48E8-91B0-9E3A17EE258B}">
      <text>
        <t>[Threaded comment]
Your version of Excel allows you to read this threaded comment; however, any edits to it will get removed if the file is opened in a newer version of Excel. Learn more: https://go.microsoft.com/fwlink/?linkid=870924
Comment:
    Still referred to as “Swaziland” in the clearinghouse site gender profile</t>
      </text>
    </comment>
    <comment ref="D189" authorId="56" shapeId="0" xr:uid="{FA36CC81-C59C-FA4E-A193-F9FD41BE232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@Taylor Hadnot Please update NSDS: Tanzania Statistical Master Plan Phase Two (TSMP II) 2022/23 – 2026/27</t>
      </text>
    </comment>
    <comment ref="F189" authorId="57" shapeId="0" xr:uid="{C341D00E-FC9A-AC4E-9799-90E8388B0FE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@Taylor Hadnot https://www.nbs.go.tz/nbs/takwimu/tsmp/TSMP_II_Strategy.pdf</t>
      </text>
    </comment>
    <comment ref="D198" authorId="58" shapeId="0" xr:uid="{36EFE86F-F3BE-4790-A45C-970A802CAEEE}">
      <text>
        <t>[Threaded comment]
Your version of Excel allows you to read this threaded comment; however, any edits to it will get removed if the file is opened in a newer version of Excel. Learn more: https://go.microsoft.com/fwlink/?linkid=870924
Comment:
    More recent NSDS (2022-2026) is completed and waiting adoption, so no link available yet
Reply:
    Let's use this recently outdated NSDS, but note that in the comments that the most recent is awaiting adoption: https://smartdatafinance.org/storage/2021-09-30/zvVEpqD1JnRsRfx.pdf
Reply:
    Sorry, wrong link. This is the correct one: https://vnso.gov.vu/images/Special_Report/NSDS/NSDS.pdf</t>
      </text>
    </comment>
    <comment ref="A201" authorId="59" shapeId="0" xr:uid="{0EE821A2-F231-429E-8838-63684AC3F57A}">
      <text>
        <t>[Threaded comment]
Your version of Excel allows you to read this threaded comment; however, any edits to it will get removed if the file is opened in a newer version of Excel. Learn more: https://go.microsoft.com/fwlink/?linkid=870924
Comment:
    The PARIS21 document mentions Yemen’s “The first national strategy of the Central Bureau of Statistics (roadmap)” for 2021 - (no end date). I was able to find the page of their NSO that has the strategy, but you have to request to download and fill out information (https://cso-ye.org/en/national-strategy/). Not sure if this is considered an NSDS anyway bc the PARIs21 doc just lists it as a roadmap ?</t>
      </text>
    </comment>
    <comment ref="E201" authorId="60" shapeId="0" xr:uid="{F2924A6F-3BBF-425C-89D8-AE3204113C46}">
      <text>
        <t>[Threaded comment]
Your version of Excel allows you to read this threaded comment; however, any edits to it will get removed if the file is opened in a newer version of Excel. Learn more: https://go.microsoft.com/fwlink/?linkid=870924
Comment:
    We have this, but not worth it, as it's very out of date https://smartdatafinance.org/storage/2021-09-30/1Q4fDoVY98S8L1E.pdf</t>
      </text>
    </comment>
    <comment ref="F204" authorId="61" shapeId="0" xr:uid="{D26B7375-F12A-5A4A-B4BB-C8A163FA0028}">
      <text>
        <t>[Threaded comment]
Your version of Excel allows you to read this threaded comment; however, any edits to it will get removed if the file is opened in a newer version of Excel. Learn more: https://go.microsoft.com/fwlink/?linkid=870924
Comment:
    Paris21 report says the new NSDS plan is "Being designed"
Reply:
    OK, thank you.</t>
      </text>
    </comment>
    <comment ref="R204" authorId="62" shapeId="0" xr:uid="{8DFEF3DE-CC02-4510-AF8D-C7A26218ADFC}">
      <text>
        <t>[Threaded comment]
Your version of Excel allows you to read this threaded comment; however, any edits to it will get removed if the file is opened in a newer version of Excel. Learn more: https://go.microsoft.com/fwlink/?linkid=870924
Comment:
    Confused about this becasuse the non-detailed budget is in USD (pg .xiii) but says the grand total is 98,336,650 USD. The detailed budget (starts on pg. 25) says the grand total is 216,573,139 (with no currency specified) ???</t>
      </text>
    </comment>
  </commentList>
</comments>
</file>

<file path=xl/sharedStrings.xml><?xml version="1.0" encoding="utf-8"?>
<sst xmlns="http://schemas.openxmlformats.org/spreadsheetml/2006/main" count="2323" uniqueCount="1010">
  <si>
    <t>Country</t>
  </si>
  <si>
    <t>Country Code (highlighted if ida-eligible country)</t>
  </si>
  <si>
    <t>IDA country</t>
  </si>
  <si>
    <t>NSDS Name</t>
  </si>
  <si>
    <t>NSDS Year</t>
  </si>
  <si>
    <t>Add URL</t>
  </si>
  <si>
    <t>last year</t>
  </si>
  <si>
    <t>last year raw</t>
  </si>
  <si>
    <t>needs to be checked/updated</t>
  </si>
  <si>
    <t>updated August 2025 (Yes/No)</t>
  </si>
  <si>
    <t>Is the NSDS accessible?</t>
  </si>
  <si>
    <t>Language (Fill in)</t>
  </si>
  <si>
    <t>Detailed budget available? (Yes/No)</t>
  </si>
  <si>
    <t>Gender data mentioned in budget (Yes/No)</t>
  </si>
  <si>
    <t>Are years listed in budget for gender?</t>
  </si>
  <si>
    <t>Gender in budget description (How is the line item for gender phrased? Entire table? Line item, other relevant descriptors)</t>
  </si>
  <si>
    <t>Total gender budget number in currency of publication</t>
  </si>
  <si>
    <t>total gender budget currency iso code</t>
  </si>
  <si>
    <t>Line-item breakdown (if relevant, separated by semi-colon)</t>
  </si>
  <si>
    <t xml:space="preserve"> Resource breakdown available for gender data or for entire plan?</t>
  </si>
  <si>
    <t>Domestic / External split</t>
  </si>
  <si>
    <t>State / Government</t>
  </si>
  <si>
    <t>Technical / Financial partners</t>
  </si>
  <si>
    <t>Other</t>
  </si>
  <si>
    <t>Aruba</t>
  </si>
  <si>
    <t>ABW</t>
  </si>
  <si>
    <t>Not available</t>
  </si>
  <si>
    <t>Afghanistan</t>
  </si>
  <si>
    <t>AFG</t>
  </si>
  <si>
    <t>Angola</t>
  </si>
  <si>
    <t>AGO</t>
  </si>
  <si>
    <t>Plano Estatistico Nacional de Medio Prazo 2015-25</t>
  </si>
  <si>
    <t>2015-2025</t>
  </si>
  <si>
    <t>https://www.ine.gov.ao/Arquivos/arquivosCarregados//Carregados/Publicacao_637873637947742390.pdf</t>
  </si>
  <si>
    <t>No</t>
  </si>
  <si>
    <t>Anguilla</t>
  </si>
  <si>
    <t>AIA</t>
  </si>
  <si>
    <t>Statistics Strategic Plan 2005-2009</t>
  </si>
  <si>
    <t>Albania</t>
  </si>
  <si>
    <t>ALB</t>
  </si>
  <si>
    <t>Development Strategy of INSTAT 2017-2030</t>
  </si>
  <si>
    <t>2017-2030</t>
  </si>
  <si>
    <t>http://www.instat.gov.al/media/3986/development-strategy-of-instat-2017-2030.pdf</t>
  </si>
  <si>
    <t>Yes</t>
  </si>
  <si>
    <t>English</t>
  </si>
  <si>
    <t>Andorra</t>
  </si>
  <si>
    <t>AND</t>
  </si>
  <si>
    <t>llei 13/2022, del 12 de maig, del Pla d’estadística 2022-2025</t>
  </si>
  <si>
    <t>2022-2025</t>
  </si>
  <si>
    <t>https://www.consellgeneral.ad/ca/activitat-parlamentaria/lleis-aprovades/llei-13-2022-del-12-de-maig-del-pla-d2019estadistica-2022-2025</t>
  </si>
  <si>
    <t>United Arab Emirates</t>
  </si>
  <si>
    <t>ARE</t>
  </si>
  <si>
    <t>Argentina</t>
  </si>
  <si>
    <t>ARG</t>
  </si>
  <si>
    <t>Plan Estratégico 2021-2026</t>
  </si>
  <si>
    <t>2021-2026</t>
  </si>
  <si>
    <t>https://www.indec.gob.ar/ftp/cuadros/menusuperior/documentos-auxiliares/plan_estrategico_INDEC_2021_2026.pdf</t>
  </si>
  <si>
    <t>Spanish</t>
  </si>
  <si>
    <t>Armenia</t>
  </si>
  <si>
    <t>ARM</t>
  </si>
  <si>
    <t>Five year state statistical programme 2024-2028</t>
  </si>
  <si>
    <t>2024-2028</t>
  </si>
  <si>
    <t>https://www.arlis.am/DocumentView.aspx?DocID=186099</t>
  </si>
  <si>
    <t>Antigua and Barbuda</t>
  </si>
  <si>
    <t>ATG</t>
  </si>
  <si>
    <t xml:space="preserve">Not available </t>
  </si>
  <si>
    <t>Australia</t>
  </si>
  <si>
    <t>AUS</t>
  </si>
  <si>
    <t>ABS Corporate Plan 2024-25</t>
  </si>
  <si>
    <t>2024-2025</t>
  </si>
  <si>
    <t>https://www.abs.gov.au/about/our-organisation/corporate-reporting/abs-corporate-plan/latest-release</t>
  </si>
  <si>
    <t>Austria</t>
  </si>
  <si>
    <t>AUT</t>
  </si>
  <si>
    <t>Statistical Work Program  2021-2024</t>
  </si>
  <si>
    <t>https://www.statistik.at/fileadmin/pages/535/strategie_2025.pdf</t>
  </si>
  <si>
    <t>German</t>
  </si>
  <si>
    <t>Azerbaijan</t>
  </si>
  <si>
    <t>AZE</t>
  </si>
  <si>
    <t>State Program on Improvement of the Official Statistics in the Republic of Azerbaijan 2018-2025</t>
  </si>
  <si>
    <t>2018-2025</t>
  </si>
  <si>
    <t>https://www.stat.gov.az/menu/2/state_programs/2018_2025/source/en/2018-2025_DP_ENG.pdf</t>
  </si>
  <si>
    <t>Burundi</t>
  </si>
  <si>
    <t>BDI</t>
  </si>
  <si>
    <t>Stratégie Nationale du Développement de la Statistique 2016-2020</t>
  </si>
  <si>
    <t>2016-2020</t>
  </si>
  <si>
    <t>https://isteebu.bi/wp-content/uploads/2023/01/NSDS-Burundi_Document-Principal-2.pdf</t>
  </si>
  <si>
    <t>French</t>
  </si>
  <si>
    <t>Yes: 2016-2020</t>
  </si>
  <si>
    <t>Line item: Disaggregation of all statistical data by province and gender (pg. 67)</t>
  </si>
  <si>
    <t>FBU</t>
  </si>
  <si>
    <t>$0 allocated, because goal was achieved in previous NSDS implementation</t>
  </si>
  <si>
    <t>Belgium</t>
  </si>
  <si>
    <t>BEL</t>
  </si>
  <si>
    <t>Statistisch programma 2023</t>
  </si>
  <si>
    <t>https://statbel.fgov.be/sites/default/files/Over_Statbel_FR/Programme%20statistique%20Statbel%202024-20221214-NL.pdf</t>
  </si>
  <si>
    <t>Dutch</t>
  </si>
  <si>
    <t>Benin</t>
  </si>
  <si>
    <t>BEN</t>
  </si>
  <si>
    <t>Stratégie Nationale de Développement de la Statistique 2020-23</t>
  </si>
  <si>
    <t>2020-2023</t>
  </si>
  <si>
    <t>https://afristat.org/wp-content/uploads/2022/04/1_Benin-SNDS-2020-2023.pdf</t>
  </si>
  <si>
    <t>Yes: 2020 to 2023</t>
  </si>
  <si>
    <t>Activity 4 under Expected Results (RA) 2.2.2: Develop the Index on Development and Gender Inequalities in Benin (IDISB) (page 78 of PDF)</t>
  </si>
  <si>
    <t>FCFA</t>
  </si>
  <si>
    <t>Develop the Index on Development and Gender Inequalities in Benin (IDISB): 14.2 (Million FCFA)</t>
  </si>
  <si>
    <t>Burkina Faso</t>
  </si>
  <si>
    <t>BFA</t>
  </si>
  <si>
    <t>Schéma Directeur de la Statistique 2021-2025</t>
  </si>
  <si>
    <t>2021-2025</t>
  </si>
  <si>
    <t>https://www.insd.bf/sites/default/files/2022-01/SDS-2021-2025.pdf</t>
  </si>
  <si>
    <t>Yes: 2021-2025</t>
  </si>
  <si>
    <t>188- Develop gender booklets for the East, Center-East and Center-South; 193- Develop gender booklets for the regions of the Boucle du Mouhoun, Cascades, Hauts-Bassins, and South West; 198- Develop gender booklets for the Sahel and Center regions north; 202- Develop the gender booklet; 310- Develop the Women and Gender Directory; 311- Develop the Women and Gender dashboard; 425- Develop the directory of offenses involving minors and women during the police investigation phase; 426- Develop the dashboard of offenses involving minors and women during the police investigation phase; 449- Collect monitoring data on [...]  women's busines in the regions of Boucle du Mouhoun and the East; 483- Carry out a census of associations/NGOs involved in the social action and women's sector; 492- Carry out a study on the socio-economic conditions of women in the region; 568- Ensure the dissemination on the INSD website of DSCVM publications (Social Dashboards, Gender Booklets....; 570- Ensure the distribution on the INSD website of the publications of the DR-INSD the DSSE (Statistical Yearbooks, gender booklets...); 617- Edit the women and gender dashboard; 620 Edit the report on the census of associations/NGOs working in the social action and women's sector; 658- Edit the directory of offenses involving minors and women during the police investigation phase; 659- Edit the dashboard of offenses involving minors and women during the police investigation phase</t>
  </si>
  <si>
    <t>188- Develop gender booklets for the East, Center-East and Center-South: 25 million FCFA
193- Develop gender booklets for the regions of the Boucle du Mouhoun, Cascades, Hauts-Bassins, and South West: 24.4 million FCFA
198- Develop gender booklets for the Sahel and Center regions north: 9.6 million FCFA
202- Develop the gender booklet: 20 million FCFA
310- Develop the Women and Gender Directory:  55.5 million FCFA
311- Develop the Women and Gender dashboard:  60.3 million FCFA
425- Develop the directory of offenses involving minors and women during the police investigation phase:  100 million FCFA
426- Develop the dashboard of offenses involving minors and women during the police investigation phase:  25 million FCFA
449- Collect monitoring data on [...]  women's busines in the regions of Boucle du Mouhoun and the East:  217.9 million FCFA
483- Carry out a census of associations/NGOs involved in the social action and women's sector:  87 million FCFA
492- Carry out a study on the socio-economic conditions of women in the region:  6.3 million FCFA
568- Ensure the dissemination on the INSD website of DSCVM publications (Social Dashboards, Gender Booklets....:  0 million FCFA
570- Ensure the distribution on the INSD website of the publications of the DR-INSD the DSSE (Statistical Yearbooks, gender booklets...):  0 million FCFA
617- Edit the women and gender dashboard:  9.4 million FCFA
620 Edit the report on the census of associations/NGOs working in the social action and women's sector:  3 million FCFA
658- Edit the directory of offenses involving minors and women during the police investigation phase:  20 million FCFA
659- Edit the dashboard of offenses involving minors and women during the police investigation phase 20 million FCFA</t>
  </si>
  <si>
    <t>TBD</t>
  </si>
  <si>
    <t>Bangladesh</t>
  </si>
  <si>
    <t>BGD</t>
  </si>
  <si>
    <t>National Strategy for the Development of Statistics 2013-23</t>
  </si>
  <si>
    <t>2013-2023</t>
  </si>
  <si>
    <t>http://www.paris21.org/sites/default/files/Bangladesh NSDS_2013-23_Final Cabinet approved.pdf</t>
  </si>
  <si>
    <t>Yes: 2015 to 2023</t>
  </si>
  <si>
    <t>Three gender-focused strategic goals in budget under the demography and health wing: Strategic goal 4: Monitoring the nutritional status of child and mother; Strategic goal 5: Gender statistics; Strategic goal 6: Violence against women (VAW). Each strategic goal has 3-4 detailed progress indicators (page 83).</t>
  </si>
  <si>
    <t>BDT</t>
  </si>
  <si>
    <t>Monitoring the nutrition status of child and mother: 350.00 (Million Taka); Gender statistics: 4.00 (Million Taka); VAW: 30.00 (Million Taka) (page 83)</t>
  </si>
  <si>
    <t>Bulgaria</t>
  </si>
  <si>
    <t>BGR</t>
  </si>
  <si>
    <t>Strategy for Development of the National Statistical System 2021 - 2027</t>
  </si>
  <si>
    <t>2021-2027</t>
  </si>
  <si>
    <t>https://www.nsi.bg/sites/default/files/files/pages/uplf_e/Strategy2021-2027_EN.pdf</t>
  </si>
  <si>
    <t>Bahrain</t>
  </si>
  <si>
    <t>BHR</t>
  </si>
  <si>
    <t>Open Data Policy 2019-2023</t>
  </si>
  <si>
    <t>2019-2023</t>
  </si>
  <si>
    <t>https://www.iga.gov.bh/Media/Pdf-Section/National%20Digital%20Policies/Open%20Data%20Policy%20V1.3.pdf</t>
  </si>
  <si>
    <t>The Bahamas</t>
  </si>
  <si>
    <t>BHS</t>
  </si>
  <si>
    <t>Bosnia and Herzegovina</t>
  </si>
  <si>
    <t>BIH</t>
  </si>
  <si>
    <t>Strategy for development of statistics 2021 - 2024</t>
  </si>
  <si>
    <t>2021-2024</t>
  </si>
  <si>
    <t>https://bhas.gov.ba/data/Dokumenti/Planovi/STATISTICKI_PROGRAM_BIH_2021_2024.pdf</t>
  </si>
  <si>
    <t>Bosnian</t>
  </si>
  <si>
    <t>Belarus</t>
  </si>
  <si>
    <t>BLR</t>
  </si>
  <si>
    <t>Development of State Statistics of the Republic of Belarus 2017-2022</t>
  </si>
  <si>
    <t>2017-2022</t>
  </si>
  <si>
    <t>https://www.belstat.gov.by/upload-belstat/upload-belstat-pdf/o-belstate/Stategija_2022-211025-en.pdf</t>
  </si>
  <si>
    <t>Belize</t>
  </si>
  <si>
    <t>BLZ</t>
  </si>
  <si>
    <t>Belize's Second National Strategy for the Development of Statistics</t>
  </si>
  <si>
    <t>2025-2029</t>
  </si>
  <si>
    <t>https://sib.org.bz/wp-content/uploads/BelizeNSDSReport.pdf</t>
  </si>
  <si>
    <t>Bolivia</t>
  </si>
  <si>
    <t>BOL</t>
  </si>
  <si>
    <t>Plan Estratgégico Institucional PEI 2021-2025</t>
  </si>
  <si>
    <t>https://www.ine.gob.bo/index.php/descarga/715/plan-estrategico-institucional-2021-2025/59739/pei-2021-2025-del-ine.pdf</t>
  </si>
  <si>
    <t>Yes: 2021 to 2025</t>
  </si>
  <si>
    <t>Line item, program category code to be defined - Comprehensive Survey on the Situation of Women (EISM) (page 53)</t>
  </si>
  <si>
    <t>BOB</t>
  </si>
  <si>
    <t>Comprehensive Survey on the Situation of Women (EISM): 10,002,257 (Bolivian Bolivianos)</t>
  </si>
  <si>
    <t>Brazil</t>
  </si>
  <si>
    <t>BRA</t>
  </si>
  <si>
    <t>PLANO Estratégico 2017 - 2027</t>
  </si>
  <si>
    <t>2017 - 2027</t>
  </si>
  <si>
    <t>https://www.ibge.gov.br/np_download/novoportal/documentos_institucionais/Plano_Estrategico_2017_2027.pdf</t>
  </si>
  <si>
    <t>Portuguese</t>
  </si>
  <si>
    <t>Barbados</t>
  </si>
  <si>
    <t>BRB</t>
  </si>
  <si>
    <t>Brunei</t>
  </si>
  <si>
    <t>BRN</t>
  </si>
  <si>
    <t>Bhutan</t>
  </si>
  <si>
    <t>BTN</t>
  </si>
  <si>
    <t>National Strategy for the Development of Statistics 2024-229</t>
  </si>
  <si>
    <t>2024-2029</t>
  </si>
  <si>
    <t>https://www.nsb.gov.bt/resources/plans/nsds/</t>
  </si>
  <si>
    <t>Botswana</t>
  </si>
  <si>
    <t>BWA</t>
  </si>
  <si>
    <t>Botswana Strategy for the Development of Statistics 2015 – 2020</t>
  </si>
  <si>
    <t>2015-2020</t>
  </si>
  <si>
    <t>http://www.paris21.org/sites/default/files/Botswana_Strategy_for_the_Development_of_Statistics__BSDS__-_2015_-_2020.pdf</t>
  </si>
  <si>
    <t>Central African Republic</t>
  </si>
  <si>
    <t>CAF</t>
  </si>
  <si>
    <t>Stratégie Nationale de développement de la statistique</t>
  </si>
  <si>
    <t>https://afristat.org/wp-content/uploads/2022/04/6_RCA_SNDS-2021-2025-Finalisee.pdf</t>
  </si>
  <si>
    <t>Activity 3.1.1.1.B26: Conduct studies on target groups (children living and working on the street, child soldiers, the elderly, people with disabilities, OVC , victims of gender-based violence, etc.) (p.51); Activity 3.1.2.1: Take into account the needs for disaggregated data in the design and use of surveys and censuses. 2021-2025 (p. 52); Activity 3.1.2.2: Strengthen gender and regional data analysis (p. 52)</t>
  </si>
  <si>
    <t>Activity 3.1.1.1.B26: 250,000,000 FCFA; Activity 3.1.2.1: 21,000,000 FCFA; Activity 3.1.2.2: 66,000,000 FCFA</t>
  </si>
  <si>
    <t>Canada</t>
  </si>
  <si>
    <t>CAN</t>
  </si>
  <si>
    <t>Departmental Plan 2022–23</t>
  </si>
  <si>
    <t>https://www.statcan.gc.ca/en/transparency-accountability/corporate-management-reporting/departmental-plan/2024-2025</t>
  </si>
  <si>
    <t>No (broad budget but not broken down by activity/initiative)</t>
  </si>
  <si>
    <t>Switzerland</t>
  </si>
  <si>
    <t>CHE</t>
  </si>
  <si>
    <t>Data Innovation Strategy 2017</t>
  </si>
  <si>
    <t>https://www.bfs.admin.ch/bfs/en/home.assetdetail.3862240.html</t>
  </si>
  <si>
    <t>Chile</t>
  </si>
  <si>
    <t>CHL</t>
  </si>
  <si>
    <t>Plan Estratégico Institucional 2018 - 2022</t>
  </si>
  <si>
    <t>2022-2026</t>
  </si>
  <si>
    <t>https://www.ine.gob.cl/institutional/strategic-plan-2022-2026/strategic-objectives</t>
  </si>
  <si>
    <t>English (page translated)</t>
  </si>
  <si>
    <t>China</t>
  </si>
  <si>
    <t>CHN</t>
  </si>
  <si>
    <t>Cote d'Ivoire</t>
  </si>
  <si>
    <t>CIV</t>
  </si>
  <si>
    <t>Stratégie nationale de développement de la statistique 2017 - 2021</t>
  </si>
  <si>
    <t>2017-2021</t>
  </si>
  <si>
    <t>Cameroon</t>
  </si>
  <si>
    <t>CMR</t>
  </si>
  <si>
    <t>Stratégie National de Développement de la Statistique (NSDS30, 2021-2030) 2021-2030</t>
  </si>
  <si>
    <t>2021-2030</t>
  </si>
  <si>
    <t>https://www.afristat.org/wp-content/uploads/2023/06/SNDS30_Cameroun.pdf</t>
  </si>
  <si>
    <t>No. The strategic operation that gender is mentioned in is included, but because it is not broken down by specific sub-components, we cannot get a sense of how much budget is being devoted specifically to gender statistics activities (p.64).</t>
  </si>
  <si>
    <t>Congo, Dem. Rep.</t>
  </si>
  <si>
    <t>COD</t>
  </si>
  <si>
    <t>Stratégie nationale de développement de la statistique 2012/13-17</t>
  </si>
  <si>
    <t>2012-2017</t>
  </si>
  <si>
    <t>http://www.paris21.org/sites/default/files/DRC SNDS 2012-17.pdf</t>
  </si>
  <si>
    <t>Congo, Rep.</t>
  </si>
  <si>
    <t>COG</t>
  </si>
  <si>
    <t>Programme pluriannuel de développement de la statistique</t>
  </si>
  <si>
    <t>https://www.afristat.org/wp-content/uploads/2023/06/SNDS_2022-2026_Congo.pdf</t>
  </si>
  <si>
    <t>Yes: 2022-2026</t>
  </si>
  <si>
    <t>A2O1R3: The production of gender statistics is promoted includes 3 line items - A2O1R3.1: awareness workshop on gender statistics; A2O1R3.2 development of a framework for producing gender statistics; A2O1R3.3: survey on gender-based violence (p.59)</t>
  </si>
  <si>
    <t>A2O1R3.1: 10,000,000 FCFA; A2O1R3.2: 5,000,000 FCFA; A2O1R3.3: 300,000,000 FCFA</t>
  </si>
  <si>
    <t>Colombia</t>
  </si>
  <si>
    <t>COL</t>
  </si>
  <si>
    <t>Plan Estadístico Nacional (PEN) 2023 - 2027</t>
  </si>
  <si>
    <t>2023-2027</t>
  </si>
  <si>
    <t>https://www.sen.gov.co/sites/default/files/noticias-files/2023-12/plan_estadistico_naciona_2023-2027_0.pdf</t>
  </si>
  <si>
    <t>Comoros</t>
  </si>
  <si>
    <t>COM</t>
  </si>
  <si>
    <t>Cabo Verde</t>
  </si>
  <si>
    <t>CPV</t>
  </si>
  <si>
    <t>Estratégia Nacional de Desenvolvimento da Estatística (ENDE)</t>
  </si>
  <si>
    <t>https://www.afristat.org/wp-content/uploads/2023/10/ENDE-2022_2026-VF.pdf</t>
  </si>
  <si>
    <t>Yes: 2018-2021</t>
  </si>
  <si>
    <t>CVE</t>
  </si>
  <si>
    <t>Costa Rica</t>
  </si>
  <si>
    <t>CRI</t>
  </si>
  <si>
    <t>Plan Estadístico Nacional 2018 - 2022</t>
  </si>
  <si>
    <t>https://admin.sen.inec.cr/sites/default/files/2024-03/Documento%20PEN%202023%20-%202027.pdf</t>
  </si>
  <si>
    <t>End date: 30/6/19; End date: 30/6/19; End date: 31/12/18</t>
  </si>
  <si>
    <t>Project PPI-03-01, disaggregation mentioned in description to address information gaps in statistical information (p.119); Project PPI-04-01 plan to strengthen administrative records, mention of increasing diversity of variables and more disaggregation of administrative units to improve records for statistical use (p.122); Project PPI-03-P4, gender mentioned in project description - sex-disaggregated employment and salary information databse activity (p.203)</t>
  </si>
  <si>
    <t>Not Determined for either</t>
  </si>
  <si>
    <t>Cuba</t>
  </si>
  <si>
    <t>CUB</t>
  </si>
  <si>
    <t>Cyprus</t>
  </si>
  <si>
    <t>CYP</t>
  </si>
  <si>
    <t>Statistical Service of Cyprus Strategic Plan 2023-2025</t>
  </si>
  <si>
    <t>2023-2025</t>
  </si>
  <si>
    <t>https://library.cystat.gov.cy/NEW/STRATEGIC_PLAN-2023_2025-EN-230223.pdf</t>
  </si>
  <si>
    <t>Czech Republic</t>
  </si>
  <si>
    <t>CZE</t>
  </si>
  <si>
    <t>Strategic Plan of the Czech Statistical Office 2022-2026</t>
  </si>
  <si>
    <t>https://csu.gov.cz/docs/107516/11ff306a-4696-e27f-d221-60483b6038fe/czso_strategic_plan_2022_2026.pdf?version=1.0</t>
  </si>
  <si>
    <t>Germany</t>
  </si>
  <si>
    <t>DEU</t>
  </si>
  <si>
    <t>Strategy and Programme Plan 2017-2021</t>
  </si>
  <si>
    <t>https://unstats.un.org/unsd/dnss/docViewer.aspx?docID=3874</t>
  </si>
  <si>
    <t>No. There are costs outlined for each major statistical production area, but not broken down by activity.</t>
  </si>
  <si>
    <t>Djibouti</t>
  </si>
  <si>
    <t>DJI</t>
  </si>
  <si>
    <t>Stratégie Nationale de Développement de la Statistique 2025-2029</t>
  </si>
  <si>
    <t>https://firebasestorage.googleapis.com/v0/b/instad-dj.appspot.com/o/SNDS%2F2025%2FRapport_final%20(SNDS3%202025-2029).pdf?alt=media&amp;token=8f81ca01-e836-4578-bb6d-93ef208df5fa</t>
  </si>
  <si>
    <t>Yes: 2025-2029</t>
  </si>
  <si>
    <t>AM.2.1.3 is "Implement a strategy to better take gender into account in the production and analysis of statistics" with 10 line items within</t>
  </si>
  <si>
    <t>USD</t>
  </si>
  <si>
    <t>Dominica</t>
  </si>
  <si>
    <t>DMA</t>
  </si>
  <si>
    <t>Denmark</t>
  </si>
  <si>
    <t>DNK</t>
  </si>
  <si>
    <t>Strategy 2025</t>
  </si>
  <si>
    <t>https://www.dst.dk/en/Statistik/nyheder-analyser-publ/Publikationer/VisPub?cid=47814</t>
  </si>
  <si>
    <t>Dominican Republic</t>
  </si>
  <si>
    <t>DOM</t>
  </si>
  <si>
    <t>Plan Estratégico Institucional 2021-2024</t>
  </si>
  <si>
    <t>https://www.one.gob.do/sobre-nosotros/plan-estrategico/</t>
  </si>
  <si>
    <t>Algeria</t>
  </si>
  <si>
    <t>DZA</t>
  </si>
  <si>
    <t>Stratégie Nationale de Développement de la Statistique 2017-19</t>
  </si>
  <si>
    <t>2017-2019</t>
  </si>
  <si>
    <t>Ecuador</t>
  </si>
  <si>
    <t>ECU</t>
  </si>
  <si>
    <t>Programa Nacional de Estadística 2021-2025</t>
  </si>
  <si>
    <t>https://www.ecuadorencifras.gob.ec/documentos/web-inec/Sistema_Estadistico_Nacional/Planificacion_Estadistica/Programa_Nacional_de_Estadistica_2021-2025.pdf</t>
  </si>
  <si>
    <t>Egypt</t>
  </si>
  <si>
    <t>EGY</t>
  </si>
  <si>
    <t>National Strategy of Statistics 2017 - 21</t>
  </si>
  <si>
    <t>Eritrea</t>
  </si>
  <si>
    <t>ERI</t>
  </si>
  <si>
    <t>Spain</t>
  </si>
  <si>
    <t>ESP</t>
  </si>
  <si>
    <t>Royal Decree 1110/2020, of December 15, which approves the Plan National Statistician 2021-2024.</t>
  </si>
  <si>
    <t>https://www.boe.es/boe/dias/2020/12/30/pdfs/BOE-A-2020-17283.pdf</t>
  </si>
  <si>
    <t>Yes - not in table form, but budget needed for financing each statistical operation is listed below each activity description</t>
  </si>
  <si>
    <t>Budget isn't broken down by year</t>
  </si>
  <si>
    <r>
      <rPr>
        <sz val="11"/>
        <color rgb="FF000000"/>
        <rFont val="Calibri"/>
        <family val="2"/>
      </rPr>
      <t xml:space="preserve">Operation 8752: </t>
    </r>
    <r>
      <rPr>
        <b/>
        <sz val="11"/>
        <color rgb="FF000000"/>
        <rFont val="Calibri"/>
        <family val="2"/>
      </rPr>
      <t xml:space="preserve">Statistics of Voluntary Interruptions of Pregnancy (budget: 328.08 thousand euros) </t>
    </r>
    <r>
      <rPr>
        <sz val="11"/>
        <color rgb="FF000000"/>
        <rFont val="Calibri"/>
        <family val="2"/>
      </rPr>
      <t>(p. 147); Operation 8793: Statistics of Social Assistance of Article 27 to Women Victims of Gender Violence (budget: 60.16 thousand euros) (p. 153); Operation 8797: Statistics on Autonomous Resources on Violence Against Women (budget: 34.25 thousand euros) (p. 154); Operation 8798: Statistics of Victims of Violence against Women by Gender Reason (budget: 76.80 thousand euros) (p. 154); Operation 8825: Monitoring System by Telematic Means of Removal Measures in the Field of Gender Violence (budget: 33.20 thousand euros) (p. 156); Operation 8826: Statistics of the Comprehensive Monitoring System in Cases of Gender Violence (budget: 259.61 thousand euros) (p. 156-157); Operation 8832: Statistics on Domestic Violence and Gender Violence (budget: 185.54 thousand euros) (p. 158); Operation 8919: Telephone Service for Information and Legal Advice on Gender Violence (budget: 75.20 thousand euros) (p. 169); Operation 8920: Telephone Service for Attention and Protection for Victims of Gender Violence (budget: 33.20 thousand euros) (p. 169); Operation 8921: Macro-survey on Violence Against women (budget: 18.75 thousand euros) (p. 169-170); Operation 8932: Women and Men in Spain (budget: 358.65 thousand euros) (p. 173); Operation 8938: European Survey on Gender Violence (budget: 1386.79 thousand euros) (p. 174-175)</t>
    </r>
  </si>
  <si>
    <t>EUR</t>
  </si>
  <si>
    <t>Operation 8793: Statistics of Social Assistance of Article 27 to Women Victims of Gender Violence (budget: 60.16 thousand euros) (p. 153); Operation 8797: Statistics on Autonomous Resources on Violence Against Women (budget: 34.25 thousand euros) (p. 154); Operation 8798: Statistics of Victims of Violence against Women by Gender Reason (budget: 76.80 thousand euros) (p. 154); Operation 8825: Monitoring System by Telematic Means of Removal Measures in the Field of Gender Violence (budget: 33.20 thousand euros) (p. 156); Operation 8826: Statistics of the Comprehensive Monitoring System in Cases of Gender Violence (budget: 259.61 thousand euros) (p. 156-157); Operation 8832: Statistics on Domestic Violence and Gender Violence (budget: 185.54 thousand euros) (p. 158); Operation 8919: Telephone Service for Information and Legal Advice on Gender Violence (budget: 75.20 thousand euros) (p. 169); Operation 8920: Telephone Service for Attention and Protection for Victims of Gender Violence (budget: 33.20 thousand euros) (p. 169); Operation 8921: Macro-survey on Violence Against women (budget: 18.75 thousand euros) (p. 169-170); Operation 8932: Women and Men in Spain (budget: 358.65 thousand euros) (p. 173); Operation 8938: European Survey on Gender Violence (budget: 1386.79 thousand euros) (p. 174-175)</t>
  </si>
  <si>
    <t>Estonia</t>
  </si>
  <si>
    <t>EST</t>
  </si>
  <si>
    <t>Development Plan of Statistics Estonia 2018-2022</t>
  </si>
  <si>
    <t>2023-2030</t>
  </si>
  <si>
    <t>https://www.stat.ee/en/statistics-estonia/about-us/strategy</t>
  </si>
  <si>
    <t>Ethiopia</t>
  </si>
  <si>
    <t>ETH</t>
  </si>
  <si>
    <t>http://www.statsethiopia.gov.et/wp-content/uploads/2024/02/ETHIOPIAN-STATISTICS-DEVELOPMENT-PROGRAM-ESDP-E.F.Y.-2016-2018-2024-2026-G.C..pdf</t>
  </si>
  <si>
    <t>Yes: 2015/16-2019/20</t>
  </si>
  <si>
    <t>Sub-theme 2.6 - Gender - 2.6.1: Mainstreaming gender data into surveys and censuses; 2.6.2: Conducting Time-Use Surveys; 2.6.3: Mining gender data from different surveys conducted so far; 2.6.4: Strengthening the functions of the Gender Mainstreaming Directorate; 2.6.5: Conducting Gender Asset Gap Survey</t>
  </si>
  <si>
    <t>2.6.1: Mainstreaming gender data into surveys and censuses - $0 USD; 2.6.2: Conducting Time-Use Surveys - $617275 USD; 2.6.3: Mining gender data from different surveys conducted so far - $157,500 USD; 2.6.4: Strengthening the functions of the Gender Mainstreaming Directorate - $0 USD; 2.6.5: Conducting Gender Asset Gap Survey - $898767 USD</t>
  </si>
  <si>
    <t>Finland</t>
  </si>
  <si>
    <t>FIN</t>
  </si>
  <si>
    <t>Development strategy for the statistical ecosystem 2024-2026</t>
  </si>
  <si>
    <t>2024-2026</t>
  </si>
  <si>
    <t>https://stat.fi/media/uploads/org/tilastotoimi/tilastoekosysteemin_kehittamislinjaukset_2024-2026-en.pdf</t>
  </si>
  <si>
    <t>Fiji</t>
  </si>
  <si>
    <t>FJI</t>
  </si>
  <si>
    <t>France</t>
  </si>
  <si>
    <t>FRA</t>
  </si>
  <si>
    <t>Horizon: An Ambitious Strategy for INSEE 2016-2025</t>
  </si>
  <si>
    <t>2016-2025</t>
  </si>
  <si>
    <t>https://www.insee.fr/en/statistiques/fichier/4195175/INSEE-2025-en.pdf</t>
  </si>
  <si>
    <t>Micronesia, Fed Sts.</t>
  </si>
  <si>
    <t>FSM</t>
  </si>
  <si>
    <t>Gabon</t>
  </si>
  <si>
    <t>GAB</t>
  </si>
  <si>
    <t>STRATÉGIE NATIONALE DE DÉVELOPPEMENT DE LA STATISTIQUE 2023-2025</t>
  </si>
  <si>
    <t>https://instatgabon.org/uploads/SNDS%202023-2025_VF%20.pdf</t>
  </si>
  <si>
    <t>Yes: 2011-2015</t>
  </si>
  <si>
    <t>Operation 14.9 - "Carrying out KAP and HIV seroprevalence surveys among sex workers" (p. 37)</t>
  </si>
  <si>
    <t>Operation 14.9 - 45 million FCFA</t>
  </si>
  <si>
    <t>United Kingdom</t>
  </si>
  <si>
    <t>GBR</t>
  </si>
  <si>
    <t>Strategic Business Plan 2020-2025</t>
  </si>
  <si>
    <t>2020-2025</t>
  </si>
  <si>
    <t>https://uksa.statisticsauthority.gov.uk/wp-content/uploads/2020/07/ONS-Business-Plan-2020.pdf</t>
  </si>
  <si>
    <t>Georgia</t>
  </si>
  <si>
    <t>GEO</t>
  </si>
  <si>
    <t>National Strategy for the Development of the Official Statistics 2024-2027</t>
  </si>
  <si>
    <t>2024-2027</t>
  </si>
  <si>
    <t>https://www.geostat.ge/media/63066/%E1%83%A1%E1%83%A2%E1%83%A0%E1%83%90%E1%83%A2%E1%83%94%E1%83%92%E1%83%98%E1%83%90-2024-2027_eng.pdf</t>
  </si>
  <si>
    <t>Ghana</t>
  </si>
  <si>
    <t>GHA</t>
  </si>
  <si>
    <t>National Strategy for the Development of Statistics Ghana 2018-2022</t>
  </si>
  <si>
    <t>2018-2022</t>
  </si>
  <si>
    <t>https://statsghana.gov.gh/gssmain/storage/img/NSDS%20II%20Ghana_Revised_16.03.18.pdf</t>
  </si>
  <si>
    <t>Yes: 2018-2022</t>
  </si>
  <si>
    <t>Activity 5.1.24: Capture gender disaggregated data in relation to age, urban and rural land transactions in 2017-2018 to satisfy data requirements of policy-makers (p. 46); Activity 5.3.6: Hold annual statistical literacy &amp; advocacy programmes on gender statistics (p. 49)</t>
  </si>
  <si>
    <t>Activity 5.1.24: $177,600; Activity 5.3.6: $45,875</t>
  </si>
  <si>
    <t>Five Year Strategic Plan for Gender Statistics</t>
  </si>
  <si>
    <t>https://www.mogcsp.gov.gh/mdocs-posts/five-year-strategic-plan-for-gender-statistics/</t>
  </si>
  <si>
    <t>Yes, entire budget tables are devoted to gender activities (see pg. 86-111)</t>
  </si>
  <si>
    <t>Yes, broken down by every distinct goal and objective.</t>
  </si>
  <si>
    <t>Unsure</t>
  </si>
  <si>
    <t>Guinea</t>
  </si>
  <si>
    <t>GIN</t>
  </si>
  <si>
    <t>Stratégie Nationale de Développement de la Statistique 2016-2020</t>
  </si>
  <si>
    <t>https://www.stat-guinee.org/images/Documents/Publications/Textes/SNDS 2016-2020.pdf</t>
  </si>
  <si>
    <t>Activity 4.2.1: Take into account the needs for disaggregated data in the development of plans for the design and use of surveys and censuses; Activity 4.2.2: Strengthen gender and regional data analysis. (p. 58)</t>
  </si>
  <si>
    <t>GNF</t>
  </si>
  <si>
    <t>Activity 4.2.1: 162000000; Activity 4.2.2: 162000000</t>
  </si>
  <si>
    <t>The Gambia</t>
  </si>
  <si>
    <t>GMB</t>
  </si>
  <si>
    <t>National Strategy for the Development of Statistics (NSDS III) of the Gambia 2024-2028</t>
  </si>
  <si>
    <t>https://www.gbosdata.org/downloads-file/526-national-strategy-for-the-development-of-stati</t>
  </si>
  <si>
    <t>Guinea-Bissau</t>
  </si>
  <si>
    <t>GNB</t>
  </si>
  <si>
    <t>Stratégie Nationale de Développement de la Statistique 2018-2020</t>
  </si>
  <si>
    <t>2018-2020</t>
  </si>
  <si>
    <t>https://paris21.org/sites/default/files/2018-10/guinee-bissau_SNDS_Resume_FR_print_final.pdf</t>
  </si>
  <si>
    <t>No. There are costs outlined for each stratgic axis, but not broken down by activity.</t>
  </si>
  <si>
    <t>Equatorial Guinea</t>
  </si>
  <si>
    <t>GNQ</t>
  </si>
  <si>
    <t>Estrategia Nacional de Desarrollo de la Estadística de Guinea Ecuatorial 2022-2026</t>
  </si>
  <si>
    <t>https://inege.gq/wp-content/uploads/2023/09/ENDE-2022-2026.pdf</t>
  </si>
  <si>
    <t>1.1.8.1 - Preparation of gender statistics through administrative records; 
1.1.8.2 - Conducting a National Survey on the socioeconomic situation of women in Equatorial Guinea;
1.1.8.3 - Carrying out a National Survey on the situation of the Elderly in Equatorial Guinea;
1.1.8.4 - Carrying out a study on the child protection environment in Equatorial Guinea;
1.1.8.5 -  Conducting a Survey on vulnerable households;
1.1.8.6 - Carrying out and disseminating a review and compilation study of customary law and positive law on women's rights concerning: a) marital regime, divorce and parental authority; b) trend of land and property ownership; c) physical mobility; d) the different typologies of violence;
1.1.8.7 - Promotion and dissemination of research that analyzes the situation of women in terms of access and representation in different public decision-making spaces (state powers, political parties, private sector, etc.);
1.1.8.8 - Conducting research on the impact of economic policies on the lives of women, the conditions of their labor insertion and their contributions to the national economy;
1.1.8.9 - Carrying out a study on the impact of public policies on the lives of families in Equatorial Guinea;
1.1.8.10 - Carrying out a study on the impact of Covid -19 on homes;
1.1.8.11 - Study -Identification of children in precarious situations in educational centers nationwide (p. 89-90);
2.2.4.6 - Development of a framework of gender statistical indicators (p. 98);
3.2.1.8 - Organization of a training workshop on methodologies, concepts and definitions related to gender statistics (p. 101)</t>
  </si>
  <si>
    <t>CFA</t>
  </si>
  <si>
    <t>1.1.8.1 - 30 million francs
1.1.8.2 - 50 million francs
1.1.8.3 - 40 million francs
1.1.8.4 - 15 million francs
1.1.8.5 -  50 million francs
1.1.8.6 - 30 million francs
1.1.8.7 - 25 million francs
1.1.8.8 - 25 million francs
1.1.8.9 - 20 million francs
1.1.8.10 - 50 million francs
1.1.8.11 - 20 million francs
2.2.4.6 - 5 million francs
3.2.1.8 - 5 million francs</t>
  </si>
  <si>
    <t>Greece</t>
  </si>
  <si>
    <t>GRC</t>
  </si>
  <si>
    <t>ELSTAT Hellenistic Statistical Programme 2023-2025</t>
  </si>
  <si>
    <t>https://www.statistics.gr/documents/20181/301385/Statistical_Program_2023_2025_en.pdf/75edd155-199b-8924-0a11-8ba36d715418</t>
  </si>
  <si>
    <t>No (broad budget but not broken down in detail)</t>
  </si>
  <si>
    <t>Yes: 2022</t>
  </si>
  <si>
    <t>Grenada</t>
  </si>
  <si>
    <t>GRD</t>
  </si>
  <si>
    <t>Greenland</t>
  </si>
  <si>
    <t>GRL</t>
  </si>
  <si>
    <t>Guatemala</t>
  </si>
  <si>
    <t>GTM</t>
  </si>
  <si>
    <t>PLAN ESTRATEGICO INSTITUCIONAL -PEI 2024-2028</t>
  </si>
  <si>
    <t>https://www.ine.gob.gt/sistema/uploads/2024/07/04/202407041908069Odm3oxU9mTY58hkborwzylm7MJop05q.pdf</t>
  </si>
  <si>
    <t>No (broad budget on main statistical products)</t>
  </si>
  <si>
    <t>Yes: 2018:2022</t>
  </si>
  <si>
    <t>Guyana</t>
  </si>
  <si>
    <t>GUY</t>
  </si>
  <si>
    <t>Hong Kong SAR, China</t>
  </si>
  <si>
    <t>HKG</t>
  </si>
  <si>
    <t>Open Data Plan 2022-2024</t>
  </si>
  <si>
    <t>2022-2024</t>
  </si>
  <si>
    <t>https://www.censtatd.gov.hk/en/FileManager/Annual%20Open%20Data%20Plan%20for%202022-2024.pdf</t>
  </si>
  <si>
    <t>Honduras</t>
  </si>
  <si>
    <t>HND</t>
  </si>
  <si>
    <t>Estrategia Nacional para el Desarrollo Estadístico de Honduras 2023-2033</t>
  </si>
  <si>
    <t>2023-2033</t>
  </si>
  <si>
    <t>Croatia</t>
  </si>
  <si>
    <t>HRV</t>
  </si>
  <si>
    <t>Development Strategy of Official Statistics of the Republic of Croatia 2021-2030</t>
  </si>
  <si>
    <t>https://dzs.gov.hr/UserDocsImages/dokumenti/Dokumenti/DEVELOPMENT%20STRATEGY%20OF%20OFFICIAL%20STATISTICS%20RH%202021-2030_NN%2029-2022_ENG.pdf</t>
  </si>
  <si>
    <t>Haiti</t>
  </si>
  <si>
    <t>HTI</t>
  </si>
  <si>
    <t>National Strategy for the Development of Statistics 2016-21</t>
  </si>
  <si>
    <t>2016-2021</t>
  </si>
  <si>
    <t>Hungary</t>
  </si>
  <si>
    <t>HUN</t>
  </si>
  <si>
    <t>Indonesia</t>
  </si>
  <si>
    <t>IDN</t>
  </si>
  <si>
    <t>National Statistical Plan 2020 – 2024</t>
  </si>
  <si>
    <t>2020-2024</t>
  </si>
  <si>
    <t>https://www.bps.go.id/website/fileMenu/Renstra-BPS-2020-2024.pdf</t>
  </si>
  <si>
    <t>Indonesian</t>
  </si>
  <si>
    <t>Yes: 2020-2024</t>
  </si>
  <si>
    <t>Component of activity 2896: Number of Gender Equality and Gender Empowerment Indicators compiled (p.102)</t>
  </si>
  <si>
    <t>Not specified (there is only a total for the broader activity as a whole, which includes many non-gender-focused elements)</t>
  </si>
  <si>
    <t>India</t>
  </si>
  <si>
    <t>IND</t>
  </si>
  <si>
    <t>Five Year Vision 2019-2024</t>
  </si>
  <si>
    <t>2019-2024</t>
  </si>
  <si>
    <t>https://www.mospi.gov.in/sites/default/files/main_menu/parliament_matters/Vision_2024_of_MoSPI.pdf</t>
  </si>
  <si>
    <t>Ireland</t>
  </si>
  <si>
    <t>IRL</t>
  </si>
  <si>
    <t>Statement of Strategy 2020-2023</t>
  </si>
  <si>
    <t>https://www.cso.ie/en/media/csoie/releasespublications/documents/corporatepublications/CSO_Statement_Of_Strategy_2020-2023.pdf</t>
  </si>
  <si>
    <t>Iran, Islamic Rep.</t>
  </si>
  <si>
    <t>IRN</t>
  </si>
  <si>
    <t>Iraq</t>
  </si>
  <si>
    <t>IRQ</t>
  </si>
  <si>
    <t>Statistical Master plan 2010-14</t>
  </si>
  <si>
    <t>2010-2014</t>
  </si>
  <si>
    <t>https://cosit.gov.iq/images/pdf/workplan2023.pdf</t>
  </si>
  <si>
    <t>Arabic</t>
  </si>
  <si>
    <t>Iceland</t>
  </si>
  <si>
    <t>ISL</t>
  </si>
  <si>
    <t>Israel</t>
  </si>
  <si>
    <t>ISR</t>
  </si>
  <si>
    <t>Italy</t>
  </si>
  <si>
    <t>ITA</t>
  </si>
  <si>
    <t>Jamaica</t>
  </si>
  <si>
    <t>JAM</t>
  </si>
  <si>
    <t>Jordan</t>
  </si>
  <si>
    <t>JOR</t>
  </si>
  <si>
    <t>National Strategy for Development of Statistics 2018-22</t>
  </si>
  <si>
    <t>https://paris21.org/sites/default/files/2019-05/JPRDAN_NSDS 18-22.pdf</t>
  </si>
  <si>
    <t>Column called "Party/Parties responsible for implementation" - unclear if related to funding though (p. 31). There is a funding source column in the work plan table starting on page 38.</t>
  </si>
  <si>
    <t>Japan</t>
  </si>
  <si>
    <t>JPN</t>
  </si>
  <si>
    <t>Kazakhstan</t>
  </si>
  <si>
    <t>KAZ</t>
  </si>
  <si>
    <t>Kenya</t>
  </si>
  <si>
    <t>KEN</t>
  </si>
  <si>
    <t>National Strategy for the Development of Statistics 2023-2027</t>
  </si>
  <si>
    <t>https://www.knbs.or.ke/wp-content/uploads/2024/03/Kenya-National-Bureau-of-Statistics-Strategic-Plan-2023-2027.pdf</t>
  </si>
  <si>
    <t>Yes: 2019-2023</t>
  </si>
  <si>
    <t>Stratetgic Objective 2.2, activity 7: Enhance data disaggregation (p. 51); Survey #23: Time Use, Survey #25: VAW, Survey #26: Social Institution and Gender Index, (p. 58)</t>
  </si>
  <si>
    <t>KSH</t>
  </si>
  <si>
    <t xml:space="preserve"> Enhance data disaggregation - 80 million Ksh; Survey #23: Time Use - 60 million Ksh, Survey #25: VAW - 400 million Ksh, Survey #26: Social Institution and Gender Index - 150 million Ksh (p. 58)</t>
  </si>
  <si>
    <t>Strategic Plan 2023-2027</t>
  </si>
  <si>
    <t>2023/24 - 2027/28</t>
  </si>
  <si>
    <t>In Annex I: "Mainstream ADA, HIV/AIDS issues, Disability, Gender and National Cohesion and National Values" as Key Activity. In Annex II, "Conduct Gender in Trade Study" "Conduct Gender and Corruption Study" "Gender Statistics Sector Plan" etc.</t>
  </si>
  <si>
    <t>Kyrgyz Republic</t>
  </si>
  <si>
    <t>KGZ</t>
  </si>
  <si>
    <t>Medium-Term Program for the Development of Official Statistics of the Kyrgyz Republic for 2022-2026</t>
  </si>
  <si>
    <t>https://stat.gov.kg/media/files/51deb952-67b3-4a65-84d0-d89b76ffce48.pdf#:~:text=The%20Medium%2Dterm%20Program%20for%20Development%20of%20Official,the%20Kyrgyz%20Republic%20of%2031%20October%202018.</t>
  </si>
  <si>
    <t>Cambodia</t>
  </si>
  <si>
    <t>KHM</t>
  </si>
  <si>
    <t>Cambodia National Strategy for the Development of Statistics 2019 - 2023</t>
  </si>
  <si>
    <t>https://www.nis.gov.kh/nis/NSDS/NSDS book.pdf</t>
  </si>
  <si>
    <t>Activity 34: Women and Men in Cambodia Booklet (pg. 85)</t>
  </si>
  <si>
    <t>Women and Men in Cambodia Booklet: 15,000 in 2020, and 15,000 in 2022</t>
  </si>
  <si>
    <t>Kiribati</t>
  </si>
  <si>
    <t>KIR</t>
  </si>
  <si>
    <t>St. Kitts and Nevis</t>
  </si>
  <si>
    <t>KNA</t>
  </si>
  <si>
    <t>Korea, Rep.</t>
  </si>
  <si>
    <t>KOR</t>
  </si>
  <si>
    <t>Kuwait</t>
  </si>
  <si>
    <t>KWT</t>
  </si>
  <si>
    <t>Central Administration of Statistics strategy</t>
  </si>
  <si>
    <t>Not specified</t>
  </si>
  <si>
    <t>https://www.csb.gov.kw/About?ID=Strategy</t>
  </si>
  <si>
    <t>Arabic and English</t>
  </si>
  <si>
    <t>Lao PDR</t>
  </si>
  <si>
    <t>LAO</t>
  </si>
  <si>
    <t>Strategy for the Sustainable Devlopment of the
National Statistical System 2016-2025 and Vision by
2030</t>
  </si>
  <si>
    <t>https://www.lsb.gov.la/wp-content/uploads/2025/02/20.-SDNSS-2016-2025-and-Vision-2030-Enlisgh.pdf</t>
  </si>
  <si>
    <t>No. Only budget available is very broad, e.g. survey expenses as a whole.</t>
  </si>
  <si>
    <t>Lebanon</t>
  </si>
  <si>
    <t>LBN</t>
  </si>
  <si>
    <t>Liberia</t>
  </si>
  <si>
    <t>LBR</t>
  </si>
  <si>
    <t>National Strategy for the Development of Statistics 2018-22</t>
  </si>
  <si>
    <t>Libya</t>
  </si>
  <si>
    <t>LBY</t>
  </si>
  <si>
    <t>National Strategy for the Development of Statistics 2018-2023</t>
  </si>
  <si>
    <t>2018-2023</t>
  </si>
  <si>
    <t>https://paris21.org/sites/default/files/2018-04/NSDS-Libya-En.pdf</t>
  </si>
  <si>
    <t>Yes: 2018-2023</t>
  </si>
  <si>
    <t>St. Lucia</t>
  </si>
  <si>
    <t>LCA</t>
  </si>
  <si>
    <t>National Strategy for the Development of Statistics (NSDS) initiative</t>
  </si>
  <si>
    <t>https://stats.gov.lc/wp-content/uploads/2021/11/Draft-Action-Plan-St-Lucia-1ra1.pdf</t>
  </si>
  <si>
    <t>Liechtenstein</t>
  </si>
  <si>
    <t>LIE</t>
  </si>
  <si>
    <t>Sri Lanka</t>
  </si>
  <si>
    <t>LKA</t>
  </si>
  <si>
    <t>Lesotho</t>
  </si>
  <si>
    <t>LSO</t>
  </si>
  <si>
    <t>The Lesotho National Strategy for the Development of Statistics 2022/23-2026/27</t>
  </si>
  <si>
    <t>2022-2027</t>
  </si>
  <si>
    <t>https://www.bos.gov.ls/</t>
  </si>
  <si>
    <t>Yes - entire strategic goal 4; one activity within strategy 3.2 - conduct specialized gender survey; strategy 3.3</t>
  </si>
  <si>
    <t>LSL</t>
  </si>
  <si>
    <t>Conduct specialized gender survey: 8000000; Strategic goal 4 (across all ministries): 1296880+20000+645000+200000+1942150+695000+470000+410000+230000+520000+200000+150000+555000+22500 = 7,356,530</t>
  </si>
  <si>
    <t>Lithuania</t>
  </si>
  <si>
    <t>LTU</t>
  </si>
  <si>
    <t>Strategic Action Plan 2023-2025</t>
  </si>
  <si>
    <t>https://www.stat.gov.lt/documents/29256/10511041/VDA_2023_2025_strateginis_veiklos_planas.pdf/4a2a3569-9a9d-43cd-bc9f-84f737a51407</t>
  </si>
  <si>
    <t>Lithuanian</t>
  </si>
  <si>
    <t>Yes: 2023-2025</t>
  </si>
  <si>
    <t>Luxembourg</t>
  </si>
  <si>
    <t>LUX</t>
  </si>
  <si>
    <t>Luxembourg Open data Strategy</t>
  </si>
  <si>
    <t>Unclear</t>
  </si>
  <si>
    <t>https://data.public.lu/en/pages/strategy/</t>
  </si>
  <si>
    <t>Latvia</t>
  </si>
  <si>
    <t>LVA</t>
  </si>
  <si>
    <t>Operating Strategy of the Central Statistical Administration 2023-2029</t>
  </si>
  <si>
    <t>2023-2029</t>
  </si>
  <si>
    <t>https://www.csp.gov.lv/en/media/1103/download?attachment</t>
  </si>
  <si>
    <t>Latvian</t>
  </si>
  <si>
    <t>Macao SAR, China</t>
  </si>
  <si>
    <t>MAC</t>
  </si>
  <si>
    <t>Morocco</t>
  </si>
  <si>
    <t>MAR</t>
  </si>
  <si>
    <t>Plan d'action à long terme de la Direction de la Statistique</t>
  </si>
  <si>
    <t>Monaco</t>
  </si>
  <si>
    <t>MCO</t>
  </si>
  <si>
    <t>Moldova</t>
  </si>
  <si>
    <t>MDA</t>
  </si>
  <si>
    <t>Strategy of development of National Statistical System  2016 - 2020</t>
  </si>
  <si>
    <t>https://statistica.gov.md/public/files/despre/legi_hotariri/Strategy_SD_SSN_2016_2020_eng.pdf</t>
  </si>
  <si>
    <t>No. Only general annual budget is available (p. 44).</t>
  </si>
  <si>
    <t>Madagascar</t>
  </si>
  <si>
    <t>MDG</t>
  </si>
  <si>
    <t>Stratégie Nationale de Développement de la Statistique (SDNS) 2023-2030</t>
  </si>
  <si>
    <t>https://www.instat.mg/documents/upload/main/INSTAT_SNDS-II_05-2023.pdf</t>
  </si>
  <si>
    <t>Maldives</t>
  </si>
  <si>
    <t>MDV</t>
  </si>
  <si>
    <t>National Strategy for the Development of Statistics 2021 - 2030</t>
  </si>
  <si>
    <t>http://statisticsmaldives.gov.mv/nbs/wp-content/uploads/2021/11/NSDS-Maldives.pdf</t>
  </si>
  <si>
    <t>Yes: strategic area 3-2 gender statistics (p. 66)</t>
  </si>
  <si>
    <t>MVR</t>
  </si>
  <si>
    <t>Not provided for specific activities, just gender statistics activities as a whole. For this reason, the total gender budget may be an underestimation of the true budget going toward gender-related activities which are incorporated throughout the NSDS.</t>
  </si>
  <si>
    <t>Mexico</t>
  </si>
  <si>
    <t>MEX</t>
  </si>
  <si>
    <t>Programa Nacional de Estadística y Geografía 2019 - 2024</t>
  </si>
  <si>
    <t>http://dof.gob.mx/nota_detalle.php?codigo=5598031&amp;fecha=07/08/2020</t>
  </si>
  <si>
    <t>Marshall Islands</t>
  </si>
  <si>
    <t>MHL</t>
  </si>
  <si>
    <t>North Macedonia</t>
  </si>
  <si>
    <t>MKD</t>
  </si>
  <si>
    <t>Strategic Plan 2023-2025</t>
  </si>
  <si>
    <t>https://www.stat.gov.mk/pdf/StrateskiPlan/StrateskiPlan2023-2025en.pdf</t>
  </si>
  <si>
    <t>Mali</t>
  </si>
  <si>
    <t>MLI</t>
  </si>
  <si>
    <t>Schéma Directeur de la Statistique 2020-2024</t>
  </si>
  <si>
    <t>https://www.instat-mali.org/laravel-filemanager/files/shares/ca/sdsmli20-24_ca.pdf</t>
  </si>
  <si>
    <t>Yes: Act.3.1.2.6: Collection on the representation of women in public administration and communities (p. 70); Act.3.1.2.49: Production of the statistical bulletin for women and children (p. 74); Act.4.3.1.2: Analysis of the application of texts on gender equality (p. 84); Act.4.3.1.14: Preparation of an annual report on the situation of women and children in Mali (p. 85)</t>
  </si>
  <si>
    <t>Act.3.1.2.6: 12 million FCFA; Act.3.1.2.49: 32 million FCFA; Act.4.3.1.2: 150 million FCFA; Act.4.3.1.14: 15 million FCFA</t>
  </si>
  <si>
    <t>Malta</t>
  </si>
  <si>
    <t>MLT</t>
  </si>
  <si>
    <t>National Statistics Office Work Programme 2023-2025</t>
  </si>
  <si>
    <t>https://nso.gov.mt/wp-content/uploads/Work-Programme_2023-2025.pdf</t>
  </si>
  <si>
    <t>Myanmar</t>
  </si>
  <si>
    <t>MMR</t>
  </si>
  <si>
    <t>National Strategy for the Development of Statistics (Core Strategies) July 2016 draft</t>
  </si>
  <si>
    <t>2016-2018</t>
  </si>
  <si>
    <t>http://www.paris21.org/sites/default/files/Myanmar NSDS- core strategy %28English Ver%29_Jul 2016.pdf</t>
  </si>
  <si>
    <t>Montenegro</t>
  </si>
  <si>
    <t>MNE</t>
  </si>
  <si>
    <t>Strategy for Development of Official Statistics 2019-2023</t>
  </si>
  <si>
    <t>https://monstat.org/userfiles/file/strategija%20razvoja/19%20%2006%2019%20Strategija%20razvoja%20zvanicne%20statitike%202019-2023-%20eng.pdf</t>
  </si>
  <si>
    <t>Mongolia</t>
  </si>
  <si>
    <t>MNG</t>
  </si>
  <si>
    <t>Strategic plan for the development of the statistical sector of Mongolia in 2021-2025</t>
  </si>
  <si>
    <t>https://www.1212.mn/en/transparency/3/39953353</t>
  </si>
  <si>
    <t>Mongolian</t>
  </si>
  <si>
    <t>Not sure</t>
  </si>
  <si>
    <t>2.000.0 (in million tugrug)</t>
  </si>
  <si>
    <t>This is only for GBV survey.</t>
  </si>
  <si>
    <t>Mozambique</t>
  </si>
  <si>
    <t>MOZ</t>
  </si>
  <si>
    <t>Plano Estratégico do Sistema Estatístico Nacional (Pe-SEN), 2025-2029</t>
  </si>
  <si>
    <t>https://ine.gov.mz/en/web/guest/d/pe-sen-2025-2029-pos-cse-2025</t>
  </si>
  <si>
    <t>Yes: Resultado 1.2.3. - produce and disseminate gender statistics</t>
  </si>
  <si>
    <t>Mauritania</t>
  </si>
  <si>
    <t>MRT</t>
  </si>
  <si>
    <t>Strategien nationale decennale de developpement de la statistique &amp; plan d'actions: 2021-2025</t>
  </si>
  <si>
    <t>https://afristat.org/wp-content/uploads/2022/04/17_SNDDS-2021-2030-plan-dactions-2021-2025.pdf</t>
  </si>
  <si>
    <t>Yes: under result 2.1.2, knowledge attitude practice (KAP) gender survey is included as an activity (p. 75); under result 2.3.2 which focuses on disaggregated data, "Identification of areas not yet sufficiently covered by the statistics and implementation of an operational system to produce regular and relevant indicators, in particular the SDG indicators" included as an activity (p. 78)</t>
  </si>
  <si>
    <t>MRU</t>
  </si>
  <si>
    <t>KAP gender survey: 4,000,000; data disaggregation activity: 33,750,000</t>
  </si>
  <si>
    <t>Potentially, total budget for each line item is broken down into two columns "D" and "R" - not entirely clear what those stand for</t>
  </si>
  <si>
    <t>Mauritius</t>
  </si>
  <si>
    <t>MUS</t>
  </si>
  <si>
    <t>Strategy for Official Statistics 2020-2025</t>
  </si>
  <si>
    <t>https://statsmauritius.govmu.org/Documents/Homepage/Around_Statistics/Strategy%20for%20Official%20Statistics%202020-2025.pdf</t>
  </si>
  <si>
    <t>Malawi</t>
  </si>
  <si>
    <t>MWI</t>
  </si>
  <si>
    <t>National Statistical System Strategic Plan 2019-2023</t>
  </si>
  <si>
    <t>http://www.nsomalawi.mw/images/stories/NSSACTIVITIES/national statistical system strategic plan 2019-2023.pdf</t>
  </si>
  <si>
    <t>Yes: Annex 9, activity 2.1.2 -  Train statistical staff and other proffesionals through short courses on gender related statistics (p. 45); Annex 9, activity 2.1.3 - Conduct workshop on the importance and use of gender disaggregated data (p. 45); Annex 9, activity 4.3.2 - Support NSO to conduct Gender Index Survey (p. 46); Annex 15, activity 3.1.8 - Conduct Women Profiling Survey (p. 59)</t>
  </si>
  <si>
    <t>MWK</t>
  </si>
  <si>
    <t>Annex 9, activity 2.1.2: 128,000,000; Annex 9, activity 2.1.3: 40,000,000; Annex 9, activity 4.3.2: 98,000,000; Annex 15, activity 3.1.8: 157,000,000</t>
  </si>
  <si>
    <t>Malaysia</t>
  </si>
  <si>
    <t>MYS</t>
  </si>
  <si>
    <t>Pelan Strategik Jabatan Perangkaan Malaysia 2021-2025</t>
  </si>
  <si>
    <t>https://www.dosm.gov.my/v1/uploads/files/4_Portal%20Content/1_About%20us/6_Strategic_Plan/Pelan-Strategik-DOSM-2021-2025.pdf</t>
  </si>
  <si>
    <t>Malay</t>
  </si>
  <si>
    <t>Namibia</t>
  </si>
  <si>
    <t>NAM</t>
  </si>
  <si>
    <t>National Strategy for the Development of Statistics 2023/24-2026/27</t>
  </si>
  <si>
    <t>2023/24-2026/27</t>
  </si>
  <si>
    <t>https://nsa.nsa.org.na/wp-content/uploads/2023/07/NSDS-Report.pdf</t>
  </si>
  <si>
    <t>Niger</t>
  </si>
  <si>
    <t>NER</t>
  </si>
  <si>
    <t>Stratégie Nationale de Développement de la Statistique 2022-2026</t>
  </si>
  <si>
    <t>https://www.afristat.org/wp-content/uploads/2023/06/SNDS-III_Niger.pdf</t>
  </si>
  <si>
    <t>Yes. Note that the budget is available in two sections - annual budget, and acquired budget. The last column of this table (table 17) is called "AR budget" which stands for budget to look for.</t>
  </si>
  <si>
    <t>Yes: Axis 2, Program 5, Major Action 5: Implement a strategy for better consideration of gender in the production and analysis of statistics includes three activities that are clearly gender-focused: #262 - Update the statistical directory of the Ministry for the Promotion of Women and Protection of Children; #263 - Carry out the investigation into the obstacles in the police and army forces on the integration of women in uniform in peacekeeping missions; #264 - Carry out an in-depth analysis of the obstacles in the police and in the armed forces on the integration of women in uniform in peacekeeping missions (p. 73)</t>
  </si>
  <si>
    <t>Activity 262: 100 million FCFA; Activity 263: 96.53 million FCFA; Activity 264: 28.53 million FCFA</t>
  </si>
  <si>
    <t>Nigeria</t>
  </si>
  <si>
    <t>NGA</t>
  </si>
  <si>
    <t>National Strategy for Development of Statistics 2017-2021</t>
  </si>
  <si>
    <t>http://nigerianstat.gov.ng/download/709</t>
  </si>
  <si>
    <t>Yes: There is a budget for facilities and training, and censuses and surveys</t>
  </si>
  <si>
    <t>Yes: 2017-2021</t>
  </si>
  <si>
    <t>Yes: Gender statistics traning course</t>
  </si>
  <si>
    <t>Gender statistics traning course for the State Bureau of Statistics under the NSDS: 34,229 (p. 114), Gender statistics training course for Ministries, Departments, and Agencies (MDAs) under the NSDS: 13,877 (p. 116)</t>
  </si>
  <si>
    <t xml:space="preserve">Nicaragua </t>
  </si>
  <si>
    <t>NIC</t>
  </si>
  <si>
    <t>INE Plan estadistico nacional 2021-2025</t>
  </si>
  <si>
    <t>https://www.inide.gob.ni/docs/doc_inide/Plan_Estadistico_Nacional.pdf</t>
  </si>
  <si>
    <t>Yes: 2006-2010</t>
  </si>
  <si>
    <t>Netherlands</t>
  </si>
  <si>
    <t>NLD</t>
  </si>
  <si>
    <t>Norway</t>
  </si>
  <si>
    <t>NOR</t>
  </si>
  <si>
    <t>Strategy for Statistics Norway 2021-2023</t>
  </si>
  <si>
    <t>2021-2023</t>
  </si>
  <si>
    <t>https://www.ssb.no/en/omssb/ssbs-virksomhet/planer-og-meldinger/strategi-for-ssb/strategi-for-ssb-20212023</t>
  </si>
  <si>
    <t>Nepal</t>
  </si>
  <si>
    <t>NPL</t>
  </si>
  <si>
    <t>National Strategy for the Development of Statistics 2018/19 – 2022/23</t>
  </si>
  <si>
    <t>2018/19-2022/23</t>
  </si>
  <si>
    <t>https://cbs.gov.np/wp-content/upLoads/2020/01/National-Strategy-for-the-Development-of-Statistical-System_Final.pdf</t>
  </si>
  <si>
    <t>Nepalese and English</t>
  </si>
  <si>
    <t>Nauru</t>
  </si>
  <si>
    <t>NRU</t>
  </si>
  <si>
    <t>New Zealand</t>
  </si>
  <si>
    <t>NZL</t>
  </si>
  <si>
    <t>Stats NZ's statemennt of strategic Intentions 2021-2025</t>
  </si>
  <si>
    <t>https://www.stats.govt.nz/corporate/stats-nzs-statement-of-strategic-intentions-2021-2025</t>
  </si>
  <si>
    <t>Oman</t>
  </si>
  <si>
    <t>OMN</t>
  </si>
  <si>
    <t>Pakistan</t>
  </si>
  <si>
    <t>PAK</t>
  </si>
  <si>
    <t>National Strategy for the Development of Statistics 2021-2030</t>
  </si>
  <si>
    <t>https://smartdatafinance.org/storage/2021-09-30/hnmhEu4vdzLWD0k.pdf</t>
  </si>
  <si>
    <t>Panama</t>
  </si>
  <si>
    <t>PAN</t>
  </si>
  <si>
    <t>Plan Estadístico Nacional (PEN) 2021-2025</t>
  </si>
  <si>
    <t>https://www.inec.gob.pa/sistema/sic_archivos/PEN%202021-2025%20(Publicado%20en%20Gaceta%20Oficial).pdf</t>
  </si>
  <si>
    <t>Peru</t>
  </si>
  <si>
    <t>PER</t>
  </si>
  <si>
    <t>Plan Estratégico Nacional para el Desarrollo Estadístico PENDES 2018-2022</t>
  </si>
  <si>
    <t>https://www.inei.gob.pe/media/MenuRecursivo/plan_estadistico_nacional/pendes_2018.pdf</t>
  </si>
  <si>
    <t>Philippines</t>
  </si>
  <si>
    <t>PHL</t>
  </si>
  <si>
    <t>Philippine Statistical Development Program 2023-2029</t>
  </si>
  <si>
    <t>https://psa.gov.ph/philippine-statistical-system/psdp/primer/2023-2029</t>
  </si>
  <si>
    <t>Palau</t>
  </si>
  <si>
    <t>PLW</t>
  </si>
  <si>
    <t>Papua New Guinea</t>
  </si>
  <si>
    <t>PNG</t>
  </si>
  <si>
    <t>Strategy for the Development of Statistics  Vol 1 Vol 2 2018-27</t>
  </si>
  <si>
    <t>2018-2027</t>
  </si>
  <si>
    <t>https://png-data.sprep.org/dataset/strategy-development-statistics-2018-2027</t>
  </si>
  <si>
    <t>Yes (in Vol 2)</t>
  </si>
  <si>
    <t>Yes: 2018-2027</t>
  </si>
  <si>
    <t>Yes: 2.2.1 - total population (disaggregated by ...gender...) (Vol 2., p. 22); 2.2.3 - gender development index (Vol 2., p. 22); 2.2.4 - sex enrollment ratios (Vol 2., p. 23)</t>
  </si>
  <si>
    <t>Unclear - totals say "As in 2.5.4" or "As in 2.6.1" but there is no activity number 2.5.4 so I'm not sure what to refer to. Note that the totals are in millions of PNG Kina</t>
  </si>
  <si>
    <t>PNG Kina (PGK)</t>
  </si>
  <si>
    <t>2.2.1 - "As in 2.5.4"; 2.2.3 - "As in 2.5.4" ; 2.2.4 - "As in 2.6.1"</t>
  </si>
  <si>
    <t>Poland</t>
  </si>
  <si>
    <t>POL</t>
  </si>
  <si>
    <t>Portugal</t>
  </si>
  <si>
    <t>PRT</t>
  </si>
  <si>
    <t>Paraguay</t>
  </si>
  <si>
    <t>PRY</t>
  </si>
  <si>
    <t>ESTRATEGIA NACIONAL DEDESARROLLO ESTADÍSTICO 2021 - 2030</t>
  </si>
  <si>
    <t>https://www.ine.gov.py/pdfjs/web/viewer.html?file=ENDE%202021-2030%20(2023)%20FINAL.pdf</t>
  </si>
  <si>
    <t>Yes. There is a broad budget covering estimates of execution costs for the main statistical operations</t>
  </si>
  <si>
    <t>No, but periodicity of each operation is included.</t>
  </si>
  <si>
    <t>Yes: National Survey of the Situation of Women in Paraguay (p. 75)</t>
  </si>
  <si>
    <t>Range of 370,000 to 400,000</t>
  </si>
  <si>
    <t>National Survey of the Situation of Women in Paraguay: 370-400 thousand dollars</t>
  </si>
  <si>
    <t>Estrategia de Estadísticas de Gênero, Paraguay 2021-2025</t>
  </si>
  <si>
    <t>https://www.ine.gov.py/Publicaciones/Biblioteca/documento/eda7_EEG%20PRY%202021%20-%202025.pdf</t>
  </si>
  <si>
    <t>Yes: entire budget table devoted to gender statistics strategy (p. 29-30)</t>
  </si>
  <si>
    <t>Total budget by activity: 3,395,934.90; Maximum allocated: 3,439,600</t>
  </si>
  <si>
    <t>Unclear but I believe it is USD (because they use the "$" symbol).</t>
  </si>
  <si>
    <t>Palestine</t>
  </si>
  <si>
    <t>PSE</t>
  </si>
  <si>
    <t>Palestinian Data Strategy 2022-2026</t>
  </si>
  <si>
    <t>https://www.pcbs.gov.ps/Portals/_Rainbow/Documents/PalDataStrategyPDS2022-2026E.pdf</t>
  </si>
  <si>
    <t>Qatar</t>
  </si>
  <si>
    <t>QAT</t>
  </si>
  <si>
    <t>National Strategy for the Development of Statistics  2008-2013</t>
  </si>
  <si>
    <t>2008-2013</t>
  </si>
  <si>
    <t>https://www.psa.gov.qa/en/knowledge/Doc/Documents/NSDS__2008_EN.pdf</t>
  </si>
  <si>
    <t>Romania</t>
  </si>
  <si>
    <t>ROU</t>
  </si>
  <si>
    <t>The National Statistical System Development Strategy 2021-2027/ Strategia de Dezvoltare a Sistemului Statistic Național 2021-2027</t>
  </si>
  <si>
    <t>https://insse.ro/cms/files/legislatie/Initiative%20legislative/2022/Proiect_strategie_2022-2027_final_30.03.2022.pdf</t>
  </si>
  <si>
    <t>Romanian</t>
  </si>
  <si>
    <t>No: only broad budget</t>
  </si>
  <si>
    <t>Russian Federation</t>
  </si>
  <si>
    <t>RUS</t>
  </si>
  <si>
    <t>2024 Rosstat Development Strategy (STRATEGY for developing Rosstat and the system of the state statistics of the Russian Federation until 2024)</t>
  </si>
  <si>
    <t>2019/20-2024</t>
  </si>
  <si>
    <t>https://eng.rosstat.gov.ru/storage/2020/01-30/5fKftnzF/Strategy%202024.pdf</t>
  </si>
  <si>
    <t>Rwanda</t>
  </si>
  <si>
    <t>RWA</t>
  </si>
  <si>
    <t>National Strategy for the Development of Statistics 4 June 2024 - July 2028</t>
  </si>
  <si>
    <t xml:space="preserve">2024/25-2028/29 </t>
  </si>
  <si>
    <t>https://alpha.statistics.gov.rw/sites/default/files/documents/2025-05/NSDS4%20%282024_2029%29.pdf</t>
  </si>
  <si>
    <t>Yes: 2024/25-2028/29</t>
  </si>
  <si>
    <t>Activity 1.13 "Maintaining gender statistics production framework" pg. 135; Activity 2.16 "Produce Gender Statistics reports"</t>
  </si>
  <si>
    <t>RWF</t>
  </si>
  <si>
    <t>Saudi Arabia</t>
  </si>
  <si>
    <t>SAU</t>
  </si>
  <si>
    <t>National Strategy for the Statistical Development Summary for 2030</t>
  </si>
  <si>
    <t>https://www.stats.gov.sa/en/page/63</t>
  </si>
  <si>
    <t>Sudan</t>
  </si>
  <si>
    <t>SDN</t>
  </si>
  <si>
    <t>Senegal</t>
  </si>
  <si>
    <t>SEN</t>
  </si>
  <si>
    <t>Troisieme Stratégie nationale de développement de la statistique 2019-2023</t>
  </si>
  <si>
    <t>https://www.ansd.sn/sites/default/files/2022-04/Rapport-final-SNDS-III%20%282%29.pdf</t>
  </si>
  <si>
    <t>S/OS1/RA1/A1: Revision and inclusion of new provisions in the statistics law, taking gender and decentralization into account in particular; P1/OS2/RA2/A5/Ac6: Carrying out the survey on violence based on gender; P1/OS2/RA2/A16: Carrying out gender studies; P1/OS2/RA3/A1/Ac5: Establishment of a central and regional IS on gender-related micro-data and metadata (ONP); P1/OS4/RA1/A1: Production of gender-sensitive statistics; P2/OS2/RA1/A1/Ac5: Take into account the
gender and territorial dimensions in the modes of dissemination; P2/OS5/RA3/A1/Ac3: Organize training sessions on gender issues for the benefit of SSN actors</t>
  </si>
  <si>
    <t>S/OS1/RA1/A1: 22 500 000 FCFA; P1/OS2/RA2/A5/Ac6: 90 400 000 FCFA; P1/OS2/RA2/A16: 411 450 000 FCFA; P1/OS2/RA3/A1/Ac5: 24 000 000 FCFA; P1/OS4/RA1/A1: 578 222 000 FCFA; P2/OS2/RA1/A1/Ac5: 1 400 000 FCFA; P2/OS5/RA3/A1/Ac3: 2 800 000 FCFA</t>
  </si>
  <si>
    <t>Singapore</t>
  </si>
  <si>
    <t>SGP</t>
  </si>
  <si>
    <t>Solomon Islands</t>
  </si>
  <si>
    <t>SLB</t>
  </si>
  <si>
    <t>National Strategy for the Development of Statistics 2016-35</t>
  </si>
  <si>
    <t>2015/16-2035</t>
  </si>
  <si>
    <t>https://www.statistics.gov.sb/sinso-documents?view=download&amp;format=raw&amp;fileId=614</t>
  </si>
  <si>
    <t>Yes. Budget of strategic objectives. Table 10</t>
  </si>
  <si>
    <t>No. Labour force survey is included which we know involves gender disaggregation as was mentioned earlier in the plan, however I'm not sure if this is appopriate to allocate entirely to a gender budget.</t>
  </si>
  <si>
    <t>Yes: 2019-"2020 and future years"</t>
  </si>
  <si>
    <t>Sierra Leone</t>
  </si>
  <si>
    <t>SLE</t>
  </si>
  <si>
    <t>Extended Second National Strategy for the Development of Statistics (E-NSDS-II)</t>
  </si>
  <si>
    <t>http://www.statistics.sl/images/StatisticsSL/Documents/Extended-Second-National-Strategy-for-the-Development-of-Statistics_E-NSDSII.pdf</t>
  </si>
  <si>
    <t>Yes: budget available by topic, not specific activity, so cannot include gender-specific activities in the health domain for instance in the total gender budget here</t>
  </si>
  <si>
    <t>Topic: gender listed (p. 105)</t>
  </si>
  <si>
    <t>LE</t>
  </si>
  <si>
    <t>El Salvador</t>
  </si>
  <si>
    <t>SLV</t>
  </si>
  <si>
    <t>San Marino</t>
  </si>
  <si>
    <t>SMR</t>
  </si>
  <si>
    <t>Somalia</t>
  </si>
  <si>
    <t>SOM</t>
  </si>
  <si>
    <t>NATIONAL STRATEGY FOR THE DEVELOPMENT OF STATISTICS (NSDSII) 2024-2029</t>
  </si>
  <si>
    <t>https://info.undp.org/docs/pdc/Documents/SOM/Final%20Report-Mohamed%20Barre-Strategic%20Plan%20%20(1).pdf</t>
  </si>
  <si>
    <t>No. Broad budget of strategic goals.</t>
  </si>
  <si>
    <t>Serbia</t>
  </si>
  <si>
    <t>SRB</t>
  </si>
  <si>
    <t>Programme of official statistics over the period 2016 – 2020</t>
  </si>
  <si>
    <t>https://www.stat.gov.rs/en-us/o-nama/dokumenti/</t>
  </si>
  <si>
    <t xml:space="preserve">South Sudan </t>
  </si>
  <si>
    <t>SSD</t>
  </si>
  <si>
    <t>Master Plan for Statistics Development in Southern Sudan</t>
  </si>
  <si>
    <t>https://ssccse.org/wp-content/uploads/2018/09/masterplan.pdf</t>
  </si>
  <si>
    <t>Sao Tome and Principe</t>
  </si>
  <si>
    <t>STP</t>
  </si>
  <si>
    <t>Estrategia Nacional de Desenvolvimento da Estatistica 2018-2021</t>
  </si>
  <si>
    <t>2018-2021</t>
  </si>
  <si>
    <t>https://saotomeandprincipe.unfpa.org/sites/default/files/pub-pdf/document_snds_stp_2018-2021_vp_portugues.pdf</t>
  </si>
  <si>
    <t>Suriname</t>
  </si>
  <si>
    <t>SUR</t>
  </si>
  <si>
    <t>Slovakia</t>
  </si>
  <si>
    <t>SVK</t>
  </si>
  <si>
    <t>Slovenia</t>
  </si>
  <si>
    <t>SVN</t>
  </si>
  <si>
    <t>Sweden</t>
  </si>
  <si>
    <t>SWE</t>
  </si>
  <si>
    <t>Statistics Sweden’s strategy for operations</t>
  </si>
  <si>
    <t>2019-2022</t>
  </si>
  <si>
    <t>https://www.scb.se/contentassets/0284f53dc63f487ab5f0bc2b6fd64f25/scbs-strategi-eng.pdf</t>
  </si>
  <si>
    <t>Eswatini</t>
  </si>
  <si>
    <t>SWZ</t>
  </si>
  <si>
    <t>Strategic plan for central statistical office 2016-2020</t>
  </si>
  <si>
    <t>Seychelles</t>
  </si>
  <si>
    <t>SYC</t>
  </si>
  <si>
    <t>National Strategic Plan for Statistics 2023-2027</t>
  </si>
  <si>
    <t>https://www.nbs.gov.sc/about/nbs-plans/1465-seychelles-nsps-2023-2027/viewdocument/1465</t>
  </si>
  <si>
    <t>Yes: 2023-2027</t>
  </si>
  <si>
    <t>Strategic Goal 2 has 2 relevant line items: (1) Broaden the scope of prioritised disaggregated data and statistical information, (2) Produce and publish the Minimum Set of Gender Indicators for SADC (MSGIS) (p.21)</t>
  </si>
  <si>
    <t>SCR</t>
  </si>
  <si>
    <t>(1) Broaden the scope of prioritised disaggregated data and statistical information: 274,000 SCR, (2) Produce and publish the Minimum Set of Gender Indicators for SADC (MSGIS): unspecified</t>
  </si>
  <si>
    <t>Syrian Arab Republic</t>
  </si>
  <si>
    <t>SYR</t>
  </si>
  <si>
    <t>Strategy 2006‐2010 for Statistical Capacity Building in Syria 2006-10</t>
  </si>
  <si>
    <t>2006-2010</t>
  </si>
  <si>
    <t>Chad</t>
  </si>
  <si>
    <t>TCD</t>
  </si>
  <si>
    <t>Stratégie Nationale de développement de la statistique (SNDS2) 2022-2026</t>
  </si>
  <si>
    <t>Togo</t>
  </si>
  <si>
    <t>TGO</t>
  </si>
  <si>
    <t>Stratégie Nationale de Développement de la Statistique 2020-2024</t>
  </si>
  <si>
    <t>https://afristat.org/wp-content/uploads/2022/04/22_Togo-SNDS-II_Adopte-CNS-le-27aout20_avant-propos-signe-MPDC.pdf</t>
  </si>
  <si>
    <t>A2023R1: Result 1. The collection tools integrate variables making it possible to disaggregate the statistics produced according to several criteria (including geographical and gender) (p. xlii); A2O3R4: Result 4. Demographic and social statistics (population, gender,
employment, poverty, etc.) are produced (p. xliv)</t>
  </si>
  <si>
    <t>A2023R1: 2500 million FCFA; A203R4: 1496.779 million FCFA</t>
  </si>
  <si>
    <t>Thailand</t>
  </si>
  <si>
    <t>THA</t>
  </si>
  <si>
    <t>2nd Thailand Statistical Master Plan 2016 - 22</t>
  </si>
  <si>
    <t>2016-2022</t>
  </si>
  <si>
    <t>Link broken. http://osthailand.nic.go.th/files/policy_sector/File_Download/masterplan2559-2565.pdf</t>
  </si>
  <si>
    <t>Tajikistan</t>
  </si>
  <si>
    <t>TJK</t>
  </si>
  <si>
    <t>National Strategy for the Development of Statistics for the period up to 2030</t>
  </si>
  <si>
    <t>2020-2030</t>
  </si>
  <si>
    <t>https://stat.tj/storage/files/nsds_to_2030.pdf</t>
  </si>
  <si>
    <t>Yes: 2019-2022</t>
  </si>
  <si>
    <t>25 Social Statistics, I. Gender Statistics Entire section</t>
  </si>
  <si>
    <t>Line items 183 - 198. Biggest 3: 192.Conducting a selective survey of families with the target of thorough assessment of the disabled people’s condition which allows to study the full participation of them in economic, social and cultural life of society (their social integration) and disability discrimination (150,000 USD); 183. Improvement the quality of regular data collection on gender statistics, the creation and
maintenance of a disaggregated database on gender statistics. (20,000 USD); 184. Improvement of legal background and legal experience for providing gender-sensitive indexes. (20,000 USD); 185. Creation of institutional mechanisms for harmonization and formation of gender statistics (20,000 USD); 186. Adaptation and standardization of national gender statistics according to international obligations (20,000 USD)</t>
  </si>
  <si>
    <t>Turkmenistan</t>
  </si>
  <si>
    <t>TKM</t>
  </si>
  <si>
    <t>State Program of Transition of Statistics System to the International Standards 2010-12</t>
  </si>
  <si>
    <t>2010-2012</t>
  </si>
  <si>
    <t>Timor-Leste</t>
  </si>
  <si>
    <t>TLS</t>
  </si>
  <si>
    <t>Timor-Leste National Strategy for Development of Statistics (NSDS) 2023-2033</t>
  </si>
  <si>
    <t>https://inetl-ip.gov.tl/2024/05/29/timor-leste-national-strategy-for-development-of-statistics-nsds-2023-2033/</t>
  </si>
  <si>
    <t>Yes - budget details core statistical work plan activities</t>
  </si>
  <si>
    <t>Yes: 2010-2019</t>
  </si>
  <si>
    <t>Tonga</t>
  </si>
  <si>
    <t>TON</t>
  </si>
  <si>
    <t> Tonga Strategy for Development of Statistics 2019-23</t>
  </si>
  <si>
    <t>https://paris21.org/sites/default/files/2018-11/Tonga-NSDS 2018.pdf</t>
  </si>
  <si>
    <t>Yes. Budget covers core national statistical collections (major surveys and censuses)</t>
  </si>
  <si>
    <t>Trinidad and Tobago</t>
  </si>
  <si>
    <t>TTO</t>
  </si>
  <si>
    <t>Tunisia</t>
  </si>
  <si>
    <t>TUN</t>
  </si>
  <si>
    <t>Le Programme National de la Statistique 2016-2020</t>
  </si>
  <si>
    <t>Turkey</t>
  </si>
  <si>
    <t>TUR</t>
  </si>
  <si>
    <t>Stratejik Plan (2019-2023)</t>
  </si>
  <si>
    <t>https://www.tuik.gov.tr/Kurumsal/Stratejik_Plan</t>
  </si>
  <si>
    <t>Turkish</t>
  </si>
  <si>
    <t>Tuvalu</t>
  </si>
  <si>
    <t>TUV</t>
  </si>
  <si>
    <t>National Strategy for Development of Statistics 2020-2024</t>
  </si>
  <si>
    <t>https://smartdatafinance.org/storage/2021-09-30/Nz7blXqVLYpg5qq.pdf</t>
  </si>
  <si>
    <t>Taiwan</t>
  </si>
  <si>
    <t>TWN</t>
  </si>
  <si>
    <t>Tanzania</t>
  </si>
  <si>
    <t>TZA</t>
  </si>
  <si>
    <t>Tanzania Statistical Master Plan 2022/23-2026/27</t>
  </si>
  <si>
    <t>2022/23-2026/27</t>
  </si>
  <si>
    <t>https://www.nbs.go.tz/nbs/takwimu/tsmp/TSMP_II_Strategy.pdf</t>
  </si>
  <si>
    <t>Uganda</t>
  </si>
  <si>
    <t>UGA</t>
  </si>
  <si>
    <t>Third Plan for National Statistical Development (FY2020/21-FY2024/25)</t>
  </si>
  <si>
    <t>2020/21-2024/25</t>
  </si>
  <si>
    <t>https://www.ubos.org/wp-content/uploads/publications/08_2021THIRD_PLAN_FOR_NATIONAL_STATISTICAL_DEVELOPMENT_FY2020_21_FY2024_25.pdf</t>
  </si>
  <si>
    <t>No (very simple budget table, not much detail, page 59)</t>
  </si>
  <si>
    <t>Ukraine</t>
  </si>
  <si>
    <t>UKR</t>
  </si>
  <si>
    <t>National Statistical Plan 2019 – 2023</t>
  </si>
  <si>
    <t>https://ukrstat.gov.ua/document/programa_2023.pdf</t>
  </si>
  <si>
    <t>Ukranian</t>
  </si>
  <si>
    <t>Uruguay</t>
  </si>
  <si>
    <t>URY</t>
  </si>
  <si>
    <t>Plan Estadístico Nacional 2022/2025</t>
  </si>
  <si>
    <t>https://www5.ine.gub.uy/documents/SEN/Plan%20Estad%C3%ADstico%20Nacional/Plan%20Estad%C3%ADstico%20Nacional%202022%202025.pdf</t>
  </si>
  <si>
    <t>United States</t>
  </si>
  <si>
    <t>USA</t>
  </si>
  <si>
    <t>Uzbekistan</t>
  </si>
  <si>
    <t>UZB</t>
  </si>
  <si>
    <t>National Strategy for the development of Statistics 2020-25</t>
  </si>
  <si>
    <t>https://stat.uz/en/legal-acts/national-strategy-for-development-of-statistics</t>
  </si>
  <si>
    <t>No (very simple budget table, not much detail, page 117)</t>
  </si>
  <si>
    <t>St. Vincent and the Grenadines</t>
  </si>
  <si>
    <t>VCT</t>
  </si>
  <si>
    <t>National Strategy for the Development of Statistics (NSDS), 2021-2025, St Vincent and the Grenadines</t>
  </si>
  <si>
    <t>https://stats.gov.vc/national-strategy-for-the-development-of-statistics-nsds-2021-2025-st-vincent-and-the-grenadines/</t>
  </si>
  <si>
    <t>Venezuela</t>
  </si>
  <si>
    <t>VEN</t>
  </si>
  <si>
    <t>Plan Estadistico Nacional</t>
  </si>
  <si>
    <t>2007-2013</t>
  </si>
  <si>
    <t>http://www.ine.gob.ve/index.php?option=com_content&amp;id=18&amp;Itemid=8;tmpl=component</t>
  </si>
  <si>
    <t>Vietnam</t>
  </si>
  <si>
    <t>VNM</t>
  </si>
  <si>
    <t>Vietnam Statistical Development Strategy 2011-20</t>
  </si>
  <si>
    <t>2011-2020</t>
  </si>
  <si>
    <t>http://paris21.org/sites/default/files/VIETNAM_roadmap_E-final.pdf</t>
  </si>
  <si>
    <t>Vanuatu</t>
  </si>
  <si>
    <t>VUT</t>
  </si>
  <si>
    <t>National strategy for the Development of Statistics 2024-2028</t>
  </si>
  <si>
    <t>https://vbos.gov.vu/sites/default/files/NSDS%20Strategy%202024-2028.pdf</t>
  </si>
  <si>
    <t>Yes: 2016-2018</t>
  </si>
  <si>
    <t>Single line item called "Gender" under social sector statistics</t>
  </si>
  <si>
    <t>VT</t>
  </si>
  <si>
    <t>Gender (social sector statistics): 0.5 million Vatu</t>
  </si>
  <si>
    <t>All donor</t>
  </si>
  <si>
    <t>Samoa</t>
  </si>
  <si>
    <t>WSM</t>
  </si>
  <si>
    <t>Samoa Statistics Stratgy 2022-2026</t>
  </si>
  <si>
    <t>https://www.sbs.gov.ws/strategy/#dearflip-df_4736/13/</t>
  </si>
  <si>
    <t>Yes: 2020/21-2025/26</t>
  </si>
  <si>
    <t>Kosovo</t>
  </si>
  <si>
    <t>XKX</t>
  </si>
  <si>
    <t>Agjencia e Statistikave të Kosovës Plani Vjetor i Statistikave Zyrtare 2025</t>
  </si>
  <si>
    <t>https://askapi.rks-gov.net/Custom/1a8c18a7-5c78-411a-9dd7-ad9ea3467c56.pdf</t>
  </si>
  <si>
    <t>No. Only budget available is very broad (p. 26)</t>
  </si>
  <si>
    <t>Yemen, Republic of</t>
  </si>
  <si>
    <t>YEM</t>
  </si>
  <si>
    <t>Statistical Master Plan</t>
  </si>
  <si>
    <t>Link broken. http://www.cso-yemen.org/publication/smp/english.pdf</t>
  </si>
  <si>
    <t>South Africa</t>
  </si>
  <si>
    <t>ZAF</t>
  </si>
  <si>
    <t>Statistics South Africa Strategic Plan 2020/21-2024/25</t>
  </si>
  <si>
    <t>https://www.statssa.gov.za/strategy_plan/Stats%20SA%20Strategic%20Plan.pdf</t>
  </si>
  <si>
    <t xml:space="preserve">Zambia </t>
  </si>
  <si>
    <t>ZMB</t>
  </si>
  <si>
    <t>Second National Strategy for the Development of Statistics 2023-2027</t>
  </si>
  <si>
    <t>https://www.zamstats.gov.zm/wp-content/uploads/2023/12/SECOND-NATIONAL-STRATEGY-FOR-THE-DEVELOPMENT-OF-STATISTICS-2023-2027.pdf</t>
  </si>
  <si>
    <t>Zimbabwe</t>
  </si>
  <si>
    <t>ZWE</t>
  </si>
  <si>
    <t>National Strategy for the Development of Statistics (NSDS III) 2021 - 2025</t>
  </si>
  <si>
    <t>https://www.zimstat.co.zw/wp-content/uploads/NSS/National_stategy_for_the_development_of_statistics_Final_25012024.pdf</t>
  </si>
  <si>
    <t>1.2.2 Strengthened administrative records: education, gender and health statistics; 1.2.3 Strengthened surveys census and other alternative sources of data: Violence against women survey; 1.2.4 gender mainstreaming enhanced</t>
  </si>
  <si>
    <t>USD?</t>
  </si>
  <si>
    <t>country</t>
  </si>
  <si>
    <t>iso3c</t>
  </si>
  <si>
    <t>link</t>
  </si>
  <si>
    <t>https://www.knbs.or.ke/gender-sector-statistics-plan/</t>
  </si>
  <si>
    <t>https://statisticsmaldives.gov.mv/mbs/wp-content/uploads/2024/10/NSDGS.pdf</t>
  </si>
  <si>
    <t>https://www.one.gob.do/publicaciones/2022/estrategia-de-estadisticas-de-genero-de-la-republica-dominicana-2021-2024/</t>
  </si>
  <si>
    <t>https://www.ine.gov.py/resumen/175/estrategia-de-estadisticas-de-genero-paraguay-2021--2025</t>
  </si>
  <si>
    <t>https://www.geostat.ge/en/modules/categories/716/strategy-for-gender-statistics-2021-2023</t>
  </si>
  <si>
    <t>Southern Africa Development Community</t>
  </si>
  <si>
    <t>SADC</t>
  </si>
  <si>
    <t>https://www.sadc.int/sites/default/files/2024-02/SADC%20Gender%20Statistics%20Strategy%202022-30_EN.pdf</t>
  </si>
  <si>
    <t>Pacific Community</t>
  </si>
  <si>
    <t>PAC</t>
  </si>
  <si>
    <t>https://data.unwomen.org/sites/default/files/documents/Publications/Pacific-Roadmap-Gender-Statistics.pdf</t>
  </si>
  <si>
    <t>Code</t>
  </si>
  <si>
    <t>Region</t>
  </si>
  <si>
    <t>Income group</t>
  </si>
  <si>
    <t>Lending category</t>
  </si>
  <si>
    <t>Middle East, North Africa, Afghanistan &amp; Pakistan</t>
  </si>
  <si>
    <t>Low income</t>
  </si>
  <si>
    <t>IDA</t>
  </si>
  <si>
    <t>South Asia</t>
  </si>
  <si>
    <t>Lower middle income</t>
  </si>
  <si>
    <t>Latin America &amp; Caribbean</t>
  </si>
  <si>
    <t>Upper middle income</t>
  </si>
  <si>
    <t>Blend</t>
  </si>
  <si>
    <t>Sub-Saharan Africa</t>
  </si>
  <si>
    <t>East Asia &amp; Pacific</t>
  </si>
  <si>
    <t>Côte d’Ivoire</t>
  </si>
  <si>
    <t>Gambia, The</t>
  </si>
  <si>
    <t>High income</t>
  </si>
  <si>
    <t>Europe &amp; Central Asia</t>
  </si>
  <si>
    <t>Micronesia, Fed. Sts.</t>
  </si>
  <si>
    <t>Nicaragua</t>
  </si>
  <si>
    <t>São Tomé and Príncipe</t>
  </si>
  <si>
    <t>South Sudan</t>
  </si>
  <si>
    <t>Yemen, Rep.</t>
  </si>
  <si>
    <t>Zambia</t>
  </si>
  <si>
    <t>Activity code: 3.2.1.02 Realizar o IV Inquérito Demográfico e de Saúde Reprodutiva (IDSR)</t>
  </si>
  <si>
    <t>3.2.1.02 Realizar o IV Inquérito Demográfico e de Saúde Reprodutiva (IDSR) 151279881; 3.2.2.15 Realizar o Inquérito Nacional sobre a Vulnerabilidade Alimentar e Nutricional das Famílias 40000000; 3.2.2.10 Realizar um inquérito ao ambiente e às mudanças climáticas junto à população/família 8779018; 3.2.2.14 Realizar Testes Diagnóstico ou Cognitivos nas Dimensões Não-Discriminação e Participação 1840000</t>
  </si>
  <si>
    <t>Activité 2.1.1.9 : Réalisation d'enquêtes spécifiques auprès des ménages (violences fondées sur le genre) 400000; AM.2.1.3 Mettre en œuvre une stratégie pour une meilleure prise en compte du genre dans la production et l’analyse des statistiques 115000; Activité 2.1.3.11 : Collecte, la centralisation et la production des données statistique genre 30000</t>
  </si>
  <si>
    <t>National Strategy for the Development of Statistics 2021-2026</t>
  </si>
  <si>
    <t>https://ine.gob.hn/wp-content/uploads/2025/08/Estrategia-ENDEH-Honduras-2023-2033.pdf</t>
  </si>
  <si>
    <t>Entire table and activity level over 10 years (not by year)</t>
  </si>
  <si>
    <t>HNL</t>
  </si>
  <si>
    <t>A.E.4.1.1. Fortalecer las capacidades técnicas de unidades institucionales en igualdad y equidad de Género para la producción y análisis de estadísticas desagregadas por sus categorías de género. 6,000,000.00; A.E.4.1.2. Elaborar e implementar protocolos y/o guías para análisis con enfoque de género para los diferentes sectores del país.7300000; A.E.4.1.3. Diseñar y ejecutar un plan para asistencia técnica desde la cooperación nacional e internacional para la producción de estadísticas desagregadas por género que permitan generar políticas de igualdad y equidad de género. 11625000; A.E.4.1.4. Uniformar formatos, unidades y sistemas de captura de información estadística en cada una de las secretarías de estado para el registro de estadísticas desagregadas por sus categorías de género el SEN del país 3875000.00; A.E.4.1.5. Priorizar variables, indicadores y generar las operaciones estadísticas desagregadas por sus categorías de género. 3487500; A.E.4.1.6. Implementar un Sistema de Información Inter operativo e Interconectado funcionando con indicadores priorizados, mecanismos y herramientas para generar datos del Sistema Estadístico Nacional, vinculados a los sistemas de estadísticas desagregadas por sus categorías de género 11625000</t>
  </si>
  <si>
    <t>https://spccfpstore1.blob.core.windows.net/digitallibrary-docs/files/d6/d6bc2354a12f54ea223c6878199c9a6d.pdf?sv=2015-12-11&amp;sr=b&amp;sig=60pAM5ERWEYfNF4fvpLwwE%2BE6BMfYibL3GHdutfTs1k%3D&amp;se=2026-05-04T16%3A40%3A26Z&amp;sp=r&amp;rscc=public%2C%20max-age%3D864000%2C%20max-stale%3D86400&amp;rsct=application%2Fpdf&amp;rscd=inline%3B%20filename%3D%22Kiribati_NSDS_2024_2030.pdf%22</t>
  </si>
  <si>
    <t>2024-2030</t>
  </si>
  <si>
    <t>Kiribati National Strategy for the Development of Statistics 2024–2030</t>
  </si>
  <si>
    <t>Estabelecer e capacitar os grupo dos pontos focais de estatísticas de género 856290; Compilar e divulgar estatísticas de género 508200; Estabelecer e actualizar o “Quadro Nacional de Indicadores das Estatísticas do Género” 175000; Promovidas visitas de estudo e de troca de experiéncia para a melhoria da produção e disseminição das estatísticas Análise de estatísticas de género 154290; Capacitados colaboradores do SEN em cursos de curtaduração, em matérias de produção e disseminação de informação estatística, e outras áreas conexas Em matérias de qualidade das estatísticas de género 138900</t>
  </si>
  <si>
    <t>Activity 2.16 Produce Gender Statistics reports 623080000; Activity 1.14 Prepare the Rwanda Demographic and Health Survey RDHS-VIII 457777012; Activity 1.13 Maintaining gender statistics production framework/Enhancing the Gender data lab 26344500; Activity 1.2 Conduct Demographi and health Survey VII 2694600</t>
  </si>
  <si>
    <t>1.2.3 Strengthened surveys, census, and other alternative sources of data - Zimbabwe Demographic and Health Survey 3500000; 1.2.3 Strengthened surveys, census, and other alternative sources of data - Violence Against Women Survey 2000000; 1.2.2 Strengthened administrative records - education, gender and health statistics 31175; 0 1.2.4 Gender mainstreaming enhanced 7560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</si>
</sst>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5" formatCode="_(* #,##0_);_(* \(#,##0\);_(* &quot;-&quot;??_);_(@_)"/>
  </numFmts>
  <fonts count="15" x14ac:knownFonts="1">
    <font>
      <sz val="11"/>
      <color theme="1"/>
      <name val="Calibri"/>
      <family val="2"/>
      <scheme val="minor"/>
    </font>
    <font>
      <sz val="11"/>
      <color theme="1"/>
      <name val="Calibri"/>
      <family val="2"/>
      <scheme val="minor"/>
    </font>
    <font>
      <u/>
      <sz val="11"/>
      <color theme="10"/>
      <name val="Calibri"/>
      <family val="2"/>
      <scheme val="minor"/>
    </font>
    <font>
      <sz val="11"/>
      <color rgb="FF000000"/>
      <name val="Calibri"/>
      <family val="2"/>
    </font>
    <font>
      <b/>
      <sz val="11"/>
      <color theme="1"/>
      <name val="Calibri"/>
      <family val="2"/>
      <scheme val="minor"/>
    </font>
    <font>
      <sz val="11"/>
      <name val="Calibri"/>
      <family val="2"/>
      <scheme val="minor"/>
    </font>
    <font>
      <sz val="11"/>
      <color rgb="FF000000"/>
      <name val="Calibri"/>
      <family val="2"/>
      <scheme val="minor"/>
    </font>
    <font>
      <sz val="10"/>
      <color rgb="FF000000"/>
      <name val="Arial"/>
      <family val="2"/>
    </font>
    <font>
      <sz val="11"/>
      <color theme="1"/>
      <name val="Calibri"/>
      <family val="2"/>
    </font>
    <font>
      <sz val="11"/>
      <name val="Calibri"/>
      <family val="2"/>
    </font>
    <font>
      <u/>
      <sz val="11"/>
      <color rgb="FF0563C1"/>
      <name val="Calibri"/>
      <family val="2"/>
    </font>
    <font>
      <b/>
      <sz val="11"/>
      <color rgb="FF000000"/>
      <name val="Calibri"/>
      <family val="2"/>
    </font>
    <font>
      <sz val="11"/>
      <color rgb="FF444444"/>
      <name val="Calibri"/>
      <family val="2"/>
      <charset val="1"/>
    </font>
    <font>
      <sz val="11"/>
      <color rgb="FF000000"/>
      <name val="Calibri"/>
      <family val="2"/>
      <charset val="1"/>
    </font>
    <font>
      <sz val="11"/>
      <color theme="1"/>
      <name val="Calibri"/>
      <family val="2"/>
      <charset val="1"/>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4"/>
        <bgColor indexed="64"/>
      </patternFill>
    </fill>
  </fills>
  <borders count="8">
    <border>
      <left/>
      <right/>
      <top/>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000000"/>
      </bottom>
      <diagonal/>
    </border>
    <border>
      <left style="thin">
        <color rgb="FF000000"/>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000000"/>
      </left>
      <right style="thin">
        <color rgb="FFCCCCCC"/>
      </right>
      <top/>
      <bottom style="thin">
        <color rgb="FFCCCCCC"/>
      </bottom>
      <diagonal/>
    </border>
    <border>
      <left style="thin">
        <color rgb="FFCCCCCC"/>
      </left>
      <right style="thin">
        <color rgb="FFCCCCCC"/>
      </right>
      <top/>
      <bottom style="thin">
        <color rgb="FFCCCCCC"/>
      </bottom>
      <diagonal/>
    </border>
  </borders>
  <cellStyleXfs count="6">
    <xf numFmtId="0" fontId="0" fillId="0" borderId="0"/>
    <xf numFmtId="0" fontId="2" fillId="0" borderId="0" applyNumberFormat="0" applyFill="0" applyBorder="0" applyAlignment="0" applyProtection="0"/>
    <xf numFmtId="0" fontId="3" fillId="0" borderId="0" applyBorder="0"/>
    <xf numFmtId="0" fontId="1" fillId="0" borderId="0"/>
    <xf numFmtId="0" fontId="7" fillId="0" borderId="0"/>
    <xf numFmtId="43" fontId="1" fillId="0" borderId="0" applyFont="0" applyFill="0" applyBorder="0" applyAlignment="0" applyProtection="0"/>
  </cellStyleXfs>
  <cellXfs count="62">
    <xf numFmtId="0" fontId="0" fillId="0" borderId="0" xfId="0"/>
    <xf numFmtId="0" fontId="0" fillId="0" borderId="0" xfId="0" applyAlignment="1">
      <alignment horizontal="left"/>
    </xf>
    <xf numFmtId="0" fontId="4" fillId="0" borderId="0" xfId="0" applyFont="1"/>
    <xf numFmtId="0" fontId="0" fillId="0" borderId="0" xfId="0" applyAlignment="1">
      <alignment horizontal="left" vertical="top"/>
    </xf>
    <xf numFmtId="0" fontId="6" fillId="0" borderId="0" xfId="0" applyFont="1" applyAlignment="1">
      <alignment horizontal="left" vertical="top"/>
    </xf>
    <xf numFmtId="0" fontId="5" fillId="0" borderId="0" xfId="0" applyFont="1" applyAlignment="1">
      <alignment horizontal="left" vertical="top"/>
    </xf>
    <xf numFmtId="0" fontId="2" fillId="0" borderId="0" xfId="1" applyAlignment="1"/>
    <xf numFmtId="0" fontId="6" fillId="0" borderId="0" xfId="0" applyFont="1"/>
    <xf numFmtId="0" fontId="2" fillId="0" borderId="0" xfId="1"/>
    <xf numFmtId="0" fontId="8" fillId="0" borderId="1" xfId="0" applyFont="1" applyBorder="1" applyAlignment="1">
      <alignment readingOrder="1"/>
    </xf>
    <xf numFmtId="0" fontId="8" fillId="0" borderId="2" xfId="0" applyFont="1" applyBorder="1" applyAlignment="1">
      <alignment readingOrder="1"/>
    </xf>
    <xf numFmtId="0" fontId="0" fillId="0" borderId="0" xfId="0" applyAlignment="1">
      <alignment horizontal="left" vertical="center"/>
    </xf>
    <xf numFmtId="0" fontId="0" fillId="0" borderId="0" xfId="0" applyAlignment="1">
      <alignment vertical="center"/>
    </xf>
    <xf numFmtId="0" fontId="9" fillId="0" borderId="0" xfId="0" applyFont="1" applyAlignment="1">
      <alignment horizontal="left" vertical="top"/>
    </xf>
    <xf numFmtId="0" fontId="10" fillId="0" borderId="2" xfId="1" applyFont="1" applyFill="1" applyBorder="1" applyAlignment="1">
      <alignment readingOrder="1"/>
    </xf>
    <xf numFmtId="0" fontId="10" fillId="0" borderId="0" xfId="1" applyFont="1" applyFill="1" applyBorder="1" applyAlignment="1">
      <alignment vertical="center"/>
    </xf>
    <xf numFmtId="0" fontId="10" fillId="0" borderId="3" xfId="1" applyFont="1" applyFill="1" applyBorder="1" applyAlignment="1">
      <alignment readingOrder="1"/>
    </xf>
    <xf numFmtId="0" fontId="8" fillId="0" borderId="4" xfId="0" applyFont="1" applyBorder="1" applyAlignment="1">
      <alignment readingOrder="1"/>
    </xf>
    <xf numFmtId="0" fontId="8" fillId="0" borderId="5" xfId="0" applyFont="1" applyBorder="1" applyAlignment="1">
      <alignment readingOrder="1"/>
    </xf>
    <xf numFmtId="0" fontId="8" fillId="0" borderId="0" xfId="0" applyFont="1" applyAlignment="1">
      <alignment readingOrder="1"/>
    </xf>
    <xf numFmtId="0" fontId="3" fillId="0" borderId="0" xfId="0" applyFont="1" applyAlignment="1">
      <alignment readingOrder="1"/>
    </xf>
    <xf numFmtId="0" fontId="8" fillId="0" borderId="6" xfId="0" applyFont="1" applyBorder="1" applyAlignment="1">
      <alignment readingOrder="1"/>
    </xf>
    <xf numFmtId="0" fontId="8" fillId="0" borderId="7" xfId="0" applyFont="1" applyBorder="1" applyAlignment="1">
      <alignment readingOrder="1"/>
    </xf>
    <xf numFmtId="0" fontId="2" fillId="0" borderId="0" xfId="1" applyFill="1" applyBorder="1" applyAlignment="1"/>
    <xf numFmtId="0" fontId="2" fillId="0" borderId="0" xfId="1" applyFill="1" applyBorder="1" applyAlignment="1">
      <alignment readingOrder="1"/>
    </xf>
    <xf numFmtId="0" fontId="8" fillId="0" borderId="0" xfId="0" applyFont="1"/>
    <xf numFmtId="0" fontId="12" fillId="0" borderId="0" xfId="0" applyFont="1"/>
    <xf numFmtId="0" fontId="13" fillId="0" borderId="0" xfId="0" applyFont="1"/>
    <xf numFmtId="0" fontId="2" fillId="0" borderId="0" xfId="1" applyAlignment="1">
      <alignment horizontal="left" vertical="top"/>
    </xf>
    <xf numFmtId="3" fontId="0" fillId="0" borderId="0" xfId="0" applyNumberFormat="1"/>
    <xf numFmtId="0" fontId="4" fillId="4" borderId="0" xfId="0" applyFont="1" applyFill="1" applyAlignment="1">
      <alignment horizontal="left"/>
    </xf>
    <xf numFmtId="0" fontId="2" fillId="0" borderId="0" xfId="1" applyAlignment="1">
      <alignment vertical="center"/>
    </xf>
    <xf numFmtId="4" fontId="0" fillId="0" borderId="0" xfId="0" applyNumberFormat="1"/>
    <xf numFmtId="0" fontId="14" fillId="0" borderId="0" xfId="0" applyFont="1"/>
    <xf numFmtId="0" fontId="0" fillId="3" borderId="0" xfId="0" applyFill="1" applyAlignment="1">
      <alignment horizontal="left" vertical="top"/>
    </xf>
    <xf numFmtId="0" fontId="0" fillId="5" borderId="0" xfId="0" applyFill="1"/>
    <xf numFmtId="0" fontId="3" fillId="0" borderId="0" xfId="0" applyFont="1"/>
    <xf numFmtId="0" fontId="6" fillId="0" borderId="0" xfId="1" applyFont="1" applyFill="1" applyBorder="1" applyAlignment="1">
      <alignment vertical="center"/>
    </xf>
    <xf numFmtId="0" fontId="0" fillId="6" borderId="0" xfId="0" applyFill="1"/>
    <xf numFmtId="0" fontId="2" fillId="2" borderId="0" xfId="1" applyFill="1" applyAlignment="1"/>
    <xf numFmtId="0" fontId="10" fillId="0" borderId="0" xfId="1" applyFont="1" applyFill="1" applyBorder="1" applyAlignment="1">
      <alignment readingOrder="1"/>
    </xf>
    <xf numFmtId="0" fontId="3" fillId="0" borderId="0" xfId="1" applyFont="1" applyFill="1" applyBorder="1" applyAlignment="1">
      <alignment readingOrder="1"/>
    </xf>
    <xf numFmtId="2" fontId="2" fillId="0" borderId="0" xfId="1" applyNumberFormat="1" applyAlignment="1"/>
    <xf numFmtId="0" fontId="2" fillId="0" borderId="0" xfId="1" applyNumberFormat="1" applyAlignment="1"/>
    <xf numFmtId="0" fontId="2" fillId="0" borderId="0" xfId="1" applyBorder="1"/>
    <xf numFmtId="0" fontId="0" fillId="0" borderId="1" xfId="0" applyBorder="1" applyAlignment="1">
      <alignment horizontal="left" vertical="top"/>
    </xf>
    <xf numFmtId="0" fontId="0" fillId="0" borderId="6" xfId="0" applyBorder="1" applyAlignment="1">
      <alignment horizontal="left" vertical="top"/>
    </xf>
    <xf numFmtId="0" fontId="0" fillId="0" borderId="2" xfId="0" applyBorder="1"/>
    <xf numFmtId="0" fontId="8" fillId="0" borderId="0" xfId="0" applyFont="1" applyAlignment="1">
      <alignment vertical="center" readingOrder="1"/>
    </xf>
    <xf numFmtId="0" fontId="0" fillId="0" borderId="5" xfId="0" applyBorder="1"/>
    <xf numFmtId="0" fontId="2" fillId="0" borderId="2" xfId="1" applyBorder="1"/>
    <xf numFmtId="0" fontId="0" fillId="0" borderId="4" xfId="0" applyBorder="1" applyAlignment="1">
      <alignment horizontal="left" vertical="top"/>
    </xf>
    <xf numFmtId="0" fontId="2" fillId="0" borderId="7" xfId="1" applyBorder="1" applyAlignment="1">
      <alignment readingOrder="1"/>
    </xf>
    <xf numFmtId="0" fontId="3" fillId="0" borderId="2" xfId="0" applyFont="1" applyBorder="1" applyAlignment="1">
      <alignment readingOrder="1"/>
    </xf>
    <xf numFmtId="0" fontId="2" fillId="0" borderId="2" xfId="1" applyBorder="1" applyAlignment="1"/>
    <xf numFmtId="0" fontId="8" fillId="0" borderId="2" xfId="0" applyFont="1" applyBorder="1"/>
    <xf numFmtId="164" fontId="0" fillId="0" borderId="0" xfId="0" applyNumberFormat="1"/>
    <xf numFmtId="0" fontId="0" fillId="7" borderId="0" xfId="0" applyFill="1" applyAlignment="1">
      <alignment horizontal="left" vertical="top"/>
    </xf>
    <xf numFmtId="0" fontId="2" fillId="7" borderId="0" xfId="1" applyFill="1" applyAlignment="1"/>
    <xf numFmtId="0" fontId="0" fillId="7" borderId="0" xfId="0" applyFill="1" applyAlignment="1">
      <alignment horizontal="left" vertical="center"/>
    </xf>
    <xf numFmtId="165" fontId="0" fillId="0" borderId="0" xfId="5" applyNumberFormat="1" applyFont="1"/>
    <xf numFmtId="1" fontId="0" fillId="0" borderId="0" xfId="0" applyNumberFormat="1"/>
  </cellXfs>
  <cellStyles count="6">
    <cellStyle name="Comma" xfId="5" builtinId="3"/>
    <cellStyle name="Hyperlink" xfId="1" builtinId="8"/>
    <cellStyle name="Normal" xfId="0" builtinId="0"/>
    <cellStyle name="Normal 2" xfId="2" xr:uid="{00000000-0005-0000-0000-000002000000}"/>
    <cellStyle name="Normal 3" xfId="4" xr:uid="{73948025-2407-4B3D-9CCD-C9CCB3C9CB3A}"/>
    <cellStyle name="Normal 4" xfId="3" xr:uid="{00000000-0005-0000-0000-00000300000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ocumenttasks/documenttask1.xml><?xml version="1.0" encoding="utf-8"?>
<Tasks xmlns="http://schemas.microsoft.com/office/tasks/2019/documenttasks">
  <Task id="{E8E3BFAC-B2A1-E24A-9854-D86CE358563E}">
    <Anchor>
      <Comment id="{C341D00E-FC9A-AC4E-9799-90E8388B0FE1}"/>
    </Anchor>
    <History>
      <Event time="2023-05-05T17:28:45.58" id="{1CFF1471-7A47-4347-A903-F16EB7D520DA}">
        <Attribution userId="S::tawheedawahabzada@opendatawatch.com::399a18c6-fcac-4953-ad54-a6c613021284" userName="Tawheeda Wahabzada" userProvider="AD"/>
        <Anchor>
          <Comment id="{C341D00E-FC9A-AC4E-9799-90E8388B0FE1}"/>
        </Anchor>
        <Create/>
      </Event>
      <Event time="2023-05-05T17:28:45.58" id="{F11E049B-333B-324E-A783-45E50EF33F1E}">
        <Attribution userId="S::tawheedawahabzada@opendatawatch.com::399a18c6-fcac-4953-ad54-a6c613021284" userName="Tawheeda Wahabzada" userProvider="AD"/>
        <Anchor>
          <Comment id="{C341D00E-FC9A-AC4E-9799-90E8388B0FE1}"/>
        </Anchor>
        <Assign userId="S::TaylorHadnot@opendatawatch.com::e9d47432-e2c3-451f-b97c-b335b7291120" userName="Taylor Hadnot" userProvider="AD"/>
      </Event>
      <Event time="2023-05-05T17:28:45.58" id="{CD43BDF1-5C7A-3640-BE9B-0721A141EE3C}">
        <Attribution userId="S::tawheedawahabzada@opendatawatch.com::399a18c6-fcac-4953-ad54-a6c613021284" userName="Tawheeda Wahabzada" userProvider="AD"/>
        <Anchor>
          <Comment id="{C341D00E-FC9A-AC4E-9799-90E8388B0FE1}"/>
        </Anchor>
        <SetTitle title="@Taylor Hadnot https://www.nbs.go.tz/nbs/takwimu/tsmp/TSMP_II_Strategy.pdf"/>
      </Event>
      <Event time="2023-06-12T19:26:32.08" id="{97B1332E-A220-AB4E-8D59-BA993B5FAD20}">
        <Attribution userId="S::TaylorHadnot@opendatawatch.com::e9d47432-e2c3-451f-b97c-b335b7291120" userName="Taylor Hadnot" userProvider="AD"/>
        <Progress percentComplete="100"/>
      </Event>
    </History>
  </Task>
  <Task id="{624DF2F0-E4C4-524E-9BD4-7FCBECADC071}">
    <Anchor>
      <Comment id="{FA36CC81-C59C-FA4E-A193-F9FD41BE2328}"/>
    </Anchor>
    <History>
      <Event time="2023-05-05T17:28:31.42" id="{BC241CA2-0CA2-3E46-9E9A-ABDEFEA69A65}">
        <Attribution userId="S::tawheedawahabzada@opendatawatch.com::399a18c6-fcac-4953-ad54-a6c613021284" userName="Tawheeda Wahabzada" userProvider="AD"/>
        <Anchor>
          <Comment id="{FA36CC81-C59C-FA4E-A193-F9FD41BE2328}"/>
        </Anchor>
        <Create/>
      </Event>
      <Event time="2023-05-05T17:28:31.42" id="{51C46F39-9D9C-4D44-9AA6-76D3837949F2}">
        <Attribution userId="S::tawheedawahabzada@opendatawatch.com::399a18c6-fcac-4953-ad54-a6c613021284" userName="Tawheeda Wahabzada" userProvider="AD"/>
        <Anchor>
          <Comment id="{FA36CC81-C59C-FA4E-A193-F9FD41BE2328}"/>
        </Anchor>
        <Assign userId="S::TaylorHadnot@opendatawatch.com::e9d47432-e2c3-451f-b97c-b335b7291120" userName="Taylor Hadnot" userProvider="AD"/>
      </Event>
      <Event time="2023-05-05T17:28:31.42" id="{E3FE7D75-3E0D-714D-85DD-96A0FD0BB0FD}">
        <Attribution userId="S::tawheedawahabzada@opendatawatch.com::399a18c6-fcac-4953-ad54-a6c613021284" userName="Tawheeda Wahabzada" userProvider="AD"/>
        <Anchor>
          <Comment id="{FA36CC81-C59C-FA4E-A193-F9FD41BE2328}"/>
        </Anchor>
        <SetTitle title="@Taylor Hadnot Please update NSDS: Tanzania Statistical Master Plan Phase Two (TSMP II) 2022/23 – 2026/27"/>
      </Event>
      <Event time="2023-06-12T19:26:35.31" id="{421BC394-FDD6-5D48-96B7-DDBAB823EB5F}">
        <Attribution userId="S::TaylorHadnot@opendatawatch.com::e9d47432-e2c3-451f-b97c-b335b7291120" userName="Taylor Hadnot" userProvider="AD"/>
        <Progress percentComplete="100"/>
      </Event>
    </History>
  </Task>
</Task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Eric%20V%20Swanson/Documents/ODW%20Work%20in%20progress/ODIN%20Summary%20Scores%20Review%20V2.0%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ODIN  Pivot Table"/>
      <sheetName val="ODIN Raw Data"/>
      <sheetName val=" Input Weights"/>
      <sheetName val="Calc Weights"/>
      <sheetName val="Null weights"/>
      <sheetName val="Calculated scores"/>
      <sheetName val="Global scores"/>
      <sheetName val="Sheet1"/>
      <sheetName val="Standard Country page"/>
      <sheetName val="ODW Country &amp; WB Code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persons/person.xml><?xml version="1.0" encoding="utf-8"?>
<personList xmlns="http://schemas.microsoft.com/office/spreadsheetml/2018/threadedcomments" xmlns:x="http://schemas.openxmlformats.org/spreadsheetml/2006/main">
  <person displayName="Lorenz Noe" id="{1A1CD24E-6BC4-5741-AFE1-BC011A023766}" userId="LorenzNoe@opendatawatch.com" providerId="PeoplePicker"/>
  <person displayName="Taylor Hadnot" id="{C129A552-3D2D-4D9E-91B8-B8CA11CF2799}" userId="TaylorHadnot@opendatawatch.com" providerId="PeoplePicker"/>
  <person displayName="Jaysen Ensor" id="{68290CC8-2028-473C-A4B6-93BA07C0D69F}" userId="S::JayEnsor@opendatawatch.com::fb66ee72-68d9-4663-b61f-ef7ce580c99a" providerId="AD"/>
  <person displayName="Jaysen Ensor" id="{0EA168EA-45D1-4C9D-999D-F3BF8CE1702A}" userId="S::jayensor@opendatawatch.com::fb66ee72-68d9-4663-b61f-ef7ce580c99a" providerId="AD"/>
  <person displayName="Lorenz Noe" id="{7416D84B-14F6-4A46-BEB1-5A2CFF774C2A}" userId="S::LorenzNoe@opendatawatch.com::c8b41d90-2665-4c99-9602-501ed6ef5b5e" providerId="AD"/>
  <person displayName="Taylor Hadnot" id="{0D21D37C-129E-EA43-BCA0-82F9A16E180C}" userId="S::TaylorHadnot@opendatawatch.com::e9d47432-e2c3-451f-b97c-b335b7291120" providerId="AD"/>
  <person displayName="Taylor Hadnot" id="{FE278D75-FBAA-4E9F-AC56-F9262D4B3F58}" userId="S::taylorhadnot@opendatawatch.com::e9d47432-e2c3-451f-b97c-b335b7291120" providerId="AD"/>
  <person displayName="Tawheeda Wahabzada" id="{C9624DFE-7A84-7B4F-9435-7673FB1C5250}" userId="S::tawheedawahabzada@opendatawatch.com::399a18c6-fcac-4953-ad54-a6c613021284" providerId="AD"/>
  <person displayName="Lindsay Katz" id="{D890F60F-099B-4697-AE1F-2589EA16BBE7}" userId="S::lindsay.katz_mail.utoronto.ca#ext#@opendatawatch.onmicrosoft.com::600fc2de-d764-4263-90cc-3b9daf18289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2" dT="2023-07-19T19:51:22.67" personId="{C9624DFE-7A84-7B4F-9435-7673FB1C5250}" id="{B7A3C04F-4128-4B4F-A021-56D45181988D}" done="1">
    <text xml:space="preserve">@Lindsay don’t include because we are looking at the recognition of gender specifically within strategies, not on the broader website. </text>
  </threadedComment>
  <threadedComment ref="K7" dT="2023-09-19T12:54:41.49" personId="{D890F60F-099B-4697-AE1F-2589EA16BBE7}" id="{C71FE2EF-C457-44D6-AF41-42BF93B6FA1B}" done="1">
    <text>Not sure if this should be yes or no?</text>
  </threadedComment>
  <threadedComment ref="K7" dT="2023-09-19T14:05:19.57" personId="{C9624DFE-7A84-7B4F-9435-7673FB1C5250}" id="{2CA170A4-4318-F349-94B1-5108E25E8C82}" parentId="{C71FE2EF-C457-44D6-AF41-42BF93B6FA1B}">
    <text>It should be yes, because if you click on each activity, there is a program/plan for statistical activities</text>
  </threadedComment>
  <threadedComment ref="D10" dT="2024-10-18T19:53:47.95" personId="{7416D84B-14F6-4A46-BEB1-5A2CFF774C2A}" id="{98702F3D-0D99-4937-8C61-6A9746730B5E}">
    <text>See plans here https://armstat.am/am/?nid=719</text>
    <extLst>
      <x:ext xmlns:xltc2="http://schemas.microsoft.com/office/spreadsheetml/2020/threadedcomments2" uri="{F7C98A9C-CBB3-438F-8F68-D28B6AF4A901}">
        <xltc2:checksum>1868986911</xltc2:checksum>
        <xltc2:hyperlink startIndex="15" length="30" url="https://armstat.am/am/?nid=719"/>
      </x:ext>
    </extLst>
  </threadedComment>
  <threadedComment ref="A15" dT="2025-08-21T12:05:19.55" personId="{68290CC8-2028-473C-A4B6-93BA07C0D69F}" id="{A956610D-7E12-429F-ADEB-4753A928A34D}">
    <text>https://mininterinfos.gov.bi/la-strategie-sectorielle-de-developpement-de-la-statistique-du-midcsp-2021-2026/ might be this one? unclear</text>
    <extLst>
      <x:ext xmlns:xltc2="http://schemas.microsoft.com/office/spreadsheetml/2020/threadedcomments2" uri="{F7C98A9C-CBB3-438F-8F68-D28B6AF4A901}">
        <xltc2:checksum>1080896670</xltc2:checksum>
        <xltc2:hyperlink startIndex="0" length="109" url="https://mininterinfos.gov.bi/la-strategie-sectorielle-de-developpement-de-la-statistique-du-midcsp-2021-2026/"/>
      </x:ext>
    </extLst>
  </threadedComment>
  <threadedComment ref="A15" dT="2025-08-27T13:27:52.74" personId="{68290CC8-2028-473C-A4B6-93BA07C0D69F}" id="{B66E2367-40D9-4F00-97B2-06F4B5020FD1}" parentId="{A956610D-7E12-429F-ADEB-4753A928A34D}">
    <text xml:space="preserve">After talking w Tawheeda, this is not the correct one. She found this from june 2025 that says there is an NSDS 2022-2026, but it isn’t  live: https://x.com/INSBURUNDI/status/1919748061338693642 </text>
    <extLst>
      <x:ext xmlns:xltc2="http://schemas.microsoft.com/office/spreadsheetml/2020/threadedcomments2" uri="{F7C98A9C-CBB3-438F-8F68-D28B6AF4A901}">
        <xltc2:checksum>3613140072</xltc2:checksum>
        <xltc2:hyperlink startIndex="143" length="51" url="https://x.com/INSBURUNDI/status/1919748061338693642"/>
      </x:ext>
    </extLst>
  </threadedComment>
  <threadedComment ref="A15" dT="2025-09-23T13:18:40.19" personId="{7416D84B-14F6-4A46-BEB1-5A2CFF774C2A}" id="{626F8D76-1960-44FA-B6F2-654BE1B59322}" parentId="{A956610D-7E12-429F-ADEB-4753A928A34D}">
    <text>In the meantime, could use their CRESS https://www.insbu.bi/documents/rapportPays/CRESS_2023.pdf</text>
    <extLst>
      <x:ext xmlns:xltc2="http://schemas.microsoft.com/office/spreadsheetml/2020/threadedcomments2" uri="{F7C98A9C-CBB3-438F-8F68-D28B6AF4A901}">
        <xltc2:checksum>578102796</xltc2:checksum>
        <xltc2:hyperlink startIndex="39" length="57" url="https://www.insbu.bi/documents/rapportPays/CRESS_2023.pdf"/>
      </x:ext>
    </extLst>
  </threadedComment>
  <threadedComment ref="D15" dT="2024-10-21T18:05:08.80" personId="{7416D84B-14F6-4A46-BEB1-5A2CFF774C2A}" id="{81369187-5444-4230-A8D1-75C4C9163BB0}">
    <text>Have a more recent sectoral strategy, but not the same as SNDS-III https://mininterinfos.gov.bi/la-strategie-sectorielle-de-developpement-de-la-statistique-du-midcsp-2021-2026/</text>
    <extLst>
      <x:ext xmlns:xltc2="http://schemas.microsoft.com/office/spreadsheetml/2020/threadedcomments2" uri="{F7C98A9C-CBB3-438F-8F68-D28B6AF4A901}">
        <xltc2:checksum>2217352561</xltc2:checksum>
        <xltc2:hyperlink startIndex="67" length="109" url="https://mininterinfos.gov.bi/la-strategie-sectorielle-de-developpement-de-la-statistique-du-midcsp-2021-2026/"/>
      </x:ext>
    </extLst>
  </threadedComment>
  <threadedComment ref="U17" dT="2023-10-05T11:40:50.21" personId="{0D21D37C-129E-EA43-BCA0-82F9A16E180C}" id="{4A3EE8AB-AC42-5346-92FA-79C15476CB53}">
    <text>Each time a statistical approach gender is relevant, it is important to ensure that it is effectively implemented works within the limits of available funding. This obviously concerns the entire field of demographic and social statistics, but also more and more economic statistics analyzed from a gender perspective in terms of responsibility of the statistical units studied (agricultural businesses, informal businesses, etc.) and in a manner more generally the entire statistical field where this approach is relevant and fertile (pg. 36)
also breaks down how much each sector contributes (hard number) and the "structures responsible" (pg. 75 - RA 1.3.2 Monitoring of statistical production at sectoral level is effective)</text>
  </threadedComment>
  <threadedComment ref="P18" dT="2023-08-15T18:02:47.17" personId="{D890F60F-099B-4697-AE1F-2589EA16BBE7}" id="{BB1098A0-623B-4CF9-BB6A-BAD8141A8E00}">
    <text>This budget is a bit confusing to interpret b/c there are a ton of individual gender-related actions but also some results in bold with what appear to be totals - not sure which to include, and I don't want to over or under state the budget. Ask Tawheeda about this when she is back - leaving the rest blank for now.</text>
  </threadedComment>
  <threadedComment ref="A19" dT="2025-08-21T12:07:03.38" personId="{68290CC8-2028-473C-A4B6-93BA07C0D69F}" id="{214B6C9D-C124-41B4-AADB-6D5221AA398E}">
    <text>Found World Bank document about their assistance w the implementation of the new Strategy, but not the new Strategy itself https://documents1.worldbank.org/curated/en/099749501042411484/pdf/IDU10e92578f1f5ed14e881aa5a1d6e5be5923f9.pdf</text>
    <extLst>
      <x:ext xmlns:xltc2="http://schemas.microsoft.com/office/spreadsheetml/2020/threadedcomments2" uri="{F7C98A9C-CBB3-438F-8F68-D28B6AF4A901}">
        <xltc2:checksum>43068028</xltc2:checksum>
        <xltc2:hyperlink startIndex="123" length="111" url="https://documents1.worldbank.org/curated/en/099749501042411484/pdf/IDU10e92578f1f5ed14e881aa5a1d6e5be5923f9.pdf"/>
      </x:ext>
    </extLst>
  </threadedComment>
  <threadedComment ref="D19" dT="2024-10-18T20:44:21.97" personId="{7416D84B-14F6-4A46-BEB1-5A2CFF774C2A}" id="{5E88D9C5-C820-4AA4-B125-02E0F7683C0A}">
    <text>Implementation review http://nsds.bbs.gov.bd/storage/files/1/Publications/NSDS/An%20Assessment%20of%20National%20Strategy%20for%20the%20Development%20of%20Statistics%20(NSDS)%202013-2013.pdf</text>
    <extLst>
      <x:ext xmlns:xltc2="http://schemas.microsoft.com/office/spreadsheetml/2020/threadedcomments2" uri="{F7C98A9C-CBB3-438F-8F68-D28B6AF4A901}">
        <xltc2:checksum>3577624236</xltc2:checksum>
        <xltc2:hyperlink startIndex="22" length="168" url="http://nsds.bbs.gov.bd/storage/files/1/Publications/NSDS/An%20Assessment%20of%20National%20Strategy%20for%20the%20Development%20of%20Statistics%20(NSDS)%202013-2013.pdf"/>
      </x:ext>
    </extLst>
  </threadedComment>
  <threadedComment ref="A25" dT="2025-08-21T12:11:24.09" personId="{68290CC8-2028-473C-A4B6-93BA07C0D69F}" id="{C11077FF-95C6-4815-9309-D0730A730EE3}">
    <text>They launched the new NSDS last month - I was only able to find this summary report of it, not the whole thing,</text>
  </threadedComment>
  <threadedComment ref="D29" dT="2023-09-14T20:29:47.68" personId="{D890F60F-099B-4697-AE1F-2589EA16BBE7}" id="{B175E5A2-BD6D-4D89-B7EA-22550D96D03D}" done="1">
    <text>All I could find: https://deps.mofe.gov.bn/SitePages/Statistics.aspx</text>
  </threadedComment>
  <threadedComment ref="D29" dT="2023-09-15T15:34:00.56" personId="{C9624DFE-7A84-7B4F-9435-7673FB1C5250}" id="{30DF8DF3-C13D-AA4F-9074-46559041E53E}" parentId="{B175E5A2-BD6D-4D89-B7EA-22550D96D03D}">
    <text>I wouldn’t include this. This seems to be more of an about us— which some NSOs also have a mission, vision.</text>
  </threadedComment>
  <threadedComment ref="F30" dT="2025-08-21T12:16:09.83" personId="{68290CC8-2028-473C-A4B6-93BA07C0D69F}" id="{854F69F4-A792-4136-A1B1-842C84B930D7}">
    <text>Unable to provide direct download link, but this is the landing page</text>
  </threadedComment>
  <threadedComment ref="N30" dT="2025-08-21T12:18:23.83" personId="{68290CC8-2028-473C-A4B6-93BA07C0D69F}" id="{E497001B-AB82-476C-AFF4-637404AE1F65}">
    <text>One of the strategy items is to publish more disaggregated data (and it does have budget amount for that), but does not directly mention gender, sex, women, etc.</text>
  </threadedComment>
  <threadedComment ref="E32" dT="2023-09-27T21:38:19.15" personId="{7416D84B-14F6-4A46-BEB1-5A2CFF774C2A}" id="{9D8CC2CC-E94D-4844-8C47-818AE36DE8E0}">
    <text>We have 2021-2025 https://afristat.org/wp-content/uploads/2022/04/6_RCA_SNDS-2021-2025-Finalisee.pdf</text>
    <extLst>
      <x:ext xmlns:xltc2="http://schemas.microsoft.com/office/spreadsheetml/2020/threadedcomments2" uri="{F7C98A9C-CBB3-438F-8F68-D28B6AF4A901}">
        <xltc2:checksum>2665160917</xltc2:checksum>
        <xltc2:hyperlink startIndex="18" length="82" url="https://afristat.org/wp-content/uploads/2022/04/6_RCA_SNDS-2021-2025-Finalisee.pdf"/>
      </x:ext>
    </extLst>
  </threadedComment>
  <threadedComment ref="W32" dT="2023-10-05T15:58:47.14" personId="{FE278D75-FBAA-4E9F-AC56-F9262D4B3F58}" id="{8D9AFEF0-C293-F444-9778-B6D4176B156B}">
    <text>Budget is broken down by state and technical and financial partners acquired. For the 3 activities listed, the first one is all from donors, the second is 10 million FCFA state and 15 million FCFA donors, and the third is 15 million FCFA state and 51 million FCFA donors</text>
  </threadedComment>
  <threadedComment ref="W32" dT="2023-10-05T16:00:43.37" personId="{FE278D75-FBAA-4E9F-AC56-F9262D4B3F58}" id="{55287606-333E-4844-AFBE-69653FCF0DA6}" parentId="{8D9AFEF0-C293-F444-9778-B6D4176B156B}">
    <text>Operational objective 3.1.2:
Promote the disintegration of data according to gender and geographical levels has lion share of budget coming from T/F funders (pg. 52)</text>
  </threadedComment>
  <threadedComment ref="A37" dT="2025-08-21T12:21:51.63" personId="{68290CC8-2028-473C-A4B6-93BA07C0D69F}" id="{C1F883A4-FE1E-4B2D-86DF-F9E4261DB62F}">
    <text>There’s a page on their site about the “Atelier de lancement” (launch workshop) of the NSDS 2026-2023, but I was unable to find the actual document. I’m also not sure if it exists yet - unclear to me what a launch workshop means ?</text>
  </threadedComment>
  <threadedComment ref="E38" dT="2023-09-27T21:47:53.37" personId="{7416D84B-14F6-4A46-BEB1-5A2CFF774C2A}" id="{0CCA1028-CB81-45CE-986A-13F150D5B1D4}">
    <text>Have this document https://www.afristat.org/wp-content/uploads/2023/06/SNDS30_Cameroun.pdf</text>
    <extLst>
      <x:ext xmlns:xltc2="http://schemas.microsoft.com/office/spreadsheetml/2020/threadedcomments2" uri="{F7C98A9C-CBB3-438F-8F68-D28B6AF4A901}">
        <xltc2:checksum>3520607959</xltc2:checksum>
        <xltc2:hyperlink startIndex="19" length="71" url="https://www.afristat.org/wp-content/uploads/2023/06/SNDS30_Cameroun.pdf"/>
      </x:ext>
    </extLst>
  </threadedComment>
  <threadedComment ref="E40" dT="2023-09-27T21:41:38.72" personId="{7416D84B-14F6-4A46-BEB1-5A2CFF774C2A}" id="{21DC50B6-727D-463E-BF65-01EFA8A12348}">
    <text>Found 2022 -2026 strategy https://www.afristat.org/wp-content/uploads/2023/06/SNDS_2022-2026_Congo.pdf</text>
    <extLst>
      <x:ext xmlns:xltc2="http://schemas.microsoft.com/office/spreadsheetml/2020/threadedcomments2" uri="{F7C98A9C-CBB3-438F-8F68-D28B6AF4A901}">
        <xltc2:checksum>2207996092</xltc2:checksum>
        <xltc2:hyperlink startIndex="26" length="76" url="https://www.afristat.org/wp-content/uploads/2023/06/SNDS_2022-2026_Congo.pdf"/>
      </x:ext>
    </extLst>
  </threadedComment>
  <threadedComment ref="U40" dT="2023-10-05T16:53:19.16" personId="{FE278D75-FBAA-4E9F-AC56-F9262D4B3F58}" id="{1CF64B3F-7C32-3941-AF13-EB3E7DF41727}">
    <text>The production of gender statistics being promoted is divided into 300,00 from the state and 15,00 from PTF (pg. 59)</text>
  </threadedComment>
  <threadedComment ref="E49" dT="2023-09-27T21:54:23.37" personId="{7416D84B-14F6-4A46-BEB1-5A2CFF774C2A}" id="{B25169F2-CE6F-49FF-BC96-7FBF5C318933}">
    <text>Updated strategy https://www.afristat.org/wp-content/uploads/2023/06/SNDS_2018-2022_Djibouti.pdf</text>
    <extLst>
      <x:ext xmlns:xltc2="http://schemas.microsoft.com/office/spreadsheetml/2020/threadedcomments2" uri="{F7C98A9C-CBB3-438F-8F68-D28B6AF4A901}">
        <xltc2:checksum>3320725244</xltc2:checksum>
        <xltc2:hyperlink startIndex="17" length="79" url="https://www.afristat.org/wp-content/uploads/2023/06/SNDS_2018-2022_Djibouti.pdf"/>
      </x:ext>
    </extLst>
  </threadedComment>
  <threadedComment ref="Q49" dT="2025-08-21T12:47:09.09" personId="{68290CC8-2028-473C-A4B6-93BA07C0D69F}" id="{00AB8AB0-085F-46FA-83CB-49BC120227C1}">
    <text>Double check this - there are two items titled AM.2.1.3 and both have a different total. I did the total for the one with the title I specified in the comment in the first cell, but unsure if they should have been combined or if it was an error in numbering.</text>
  </threadedComment>
  <threadedComment ref="Q49" dT="2025-11-05T16:08:57.58" personId="{7416D84B-14F6-4A46-BEB1-5A2CFF774C2A}" id="{843DCEF1-F898-4C60-9BAB-4461E2DCBBD2}" parentId="{00AB8AB0-085F-46FA-83CB-49BC120227C1}">
    <text>Checked. The amount goes up significantly if you include the violence against women survey elsewhere in the budget</text>
  </threadedComment>
  <threadedComment ref="R49" dT="2025-08-21T12:49:19.06" personId="{68290CC8-2028-473C-A4B6-93BA07C0D69F}" id="{28924442-9188-47ED-9747-7FAD21445302}" done="1">
    <text>It says “en dollars” - I assume this is USD but never clarifies. The djibouti currency is franc.</text>
  </threadedComment>
  <threadedComment ref="P57" dT="2023-08-30T19:06:17.30" personId="{D890F60F-099B-4697-AE1F-2589EA16BBE7}" id="{8F670E75-48AD-49B3-B351-0513B064B61D}">
    <text>note: there are additional activities that don't include a keyword in the title (e.g., 8918 Survey of Homeless People on pg. 169 of the pdf) but include sex as a main disaggregation variable. Should these be included too? (There will be a lot)</text>
  </threadedComment>
  <threadedComment ref="Q57" dT="2023-08-30T19:08:59.14" personId="{D890F60F-099B-4697-AE1F-2589EA16BBE7}" id="{4092E79D-1AFD-4E68-BA0E-C88D2A495779}">
    <text>this total is based on only the activities listed in column Q that have gender/women/sex in the title of the operation</text>
  </threadedComment>
  <threadedComment ref="F59" dT="2025-11-05T16:19:08.28" personId="{7416D84B-14F6-4A46-BEB1-5A2CFF774C2A}" id="{9E82AF9D-0B56-474D-A14A-F55B46BA6C62}">
    <text>Website not loading 11/5 cannot check estimates</text>
  </threadedComment>
  <threadedComment ref="W59" dT="2023-10-05T17:10:00.44" personId="{FE278D75-FBAA-4E9F-AC56-F9262D4B3F58}" id="{7623BBA0-C1D2-124C-885D-3F3F24C9629B}">
    <text>Though the budget is broken down into government (recurrent or capital) and donor funding, the sub-theme of gender is exclusively funded by other donors. (Pg. 141)</text>
  </threadedComment>
  <threadedComment ref="M66" dT="2023-08-23T14:18:33.07" personId="{D890F60F-099B-4697-AE1F-2589EA16BBE7}" id="{4D62CD38-5661-4657-865C-6F9DDD957A9C}">
    <text>pg. 15 says action plan has ben prepared with a budget, but I can't find it online.</text>
  </threadedComment>
  <threadedComment ref="P67" dT="2023-08-31T20:56:28.83" personId="{D890F60F-099B-4697-AE1F-2589EA16BBE7}" id="{09D3ADDE-B866-4A25-96F8-92C7E3250D45}">
    <text>Note that these are sub-components of the broader strategies that mention gender, but I chose to not include the budget for the whole broad strategy and only include those for line-items which explicitly involve gender, to avoid overestimation.</text>
  </threadedComment>
  <threadedComment ref="U68" dT="2023-10-05T17:19:21.75" personId="{FE278D75-FBAA-4E9F-AC56-F9262D4B3F58}" id="{3786F3C0-6B35-EA40-9AFC-5D92081C8855}">
    <text>The budget highlights “responsible agencies” but it is unclear if this is related to funding or activity implementation. Regardless, there has been no budget allotted for Objective 10 - Conduct gender data needs /gaps assessment and address disparities to inform policy decisions since 2020.</text>
  </threadedComment>
  <threadedComment ref="A69" dT="2025-08-21T12:59:11.92" personId="{68290CC8-2028-473C-A4B6-93BA07C0D69F}" id="{97A2C443-1D46-48C4-8403-C3A163716538}">
    <text>I found an article and the launch of the validation of the SNDS 2021-2025, but couldn’t find the doc itself: https://www.stat-guinee.org/index.php/actu/294-atelier-de-validation-de-snds-2021-2026</text>
    <extLst>
      <x:ext xmlns:xltc2="http://schemas.microsoft.com/office/spreadsheetml/2020/threadedcomments2" uri="{F7C98A9C-CBB3-438F-8F68-D28B6AF4A901}">
        <xltc2:checksum>4204611390</xltc2:checksum>
        <xltc2:hyperlink startIndex="109" length="86" url="https://www.stat-guinee.org/index.php/actu/294-atelier-de-validation-de-snds-2021-2026"/>
      </x:ext>
    </extLst>
  </threadedComment>
  <threadedComment ref="E72" dT="2023-09-27T22:03:57.87" personId="{7416D84B-14F6-4A46-BEB1-5A2CFF774C2A}" id="{16A98E0E-993C-4677-BAE0-1253494660CB}">
    <text>See if this link works for anyone else https://inege.gq/index.php/estrategia-nacional-de-desarrollo-de-la-estadistica-de-guinea-ecuatorial-2022-2026/</text>
    <extLst>
      <x:ext xmlns:xltc2="http://schemas.microsoft.com/office/spreadsheetml/2020/threadedcomments2" uri="{F7C98A9C-CBB3-438F-8F68-D28B6AF4A901}">
        <xltc2:checksum>1046332947</xltc2:checksum>
        <xltc2:hyperlink startIndex="39" length="110" url="https://inege.gq/index.php/estrategia-nacional-de-desarrollo-de-la-estadistica-de-guinea-ecuatorial-2022-2026/"/>
      </x:ext>
    </extLst>
  </threadedComment>
  <threadedComment ref="U72" dT="2023-10-05T17:00:47.56" personId="{FE278D75-FBAA-4E9F-AC56-F9262D4B3F58}" id="{B50BEBBC-4367-014E-BE39-16ACC17658F9}">
    <text>Fund distribution is distinguished between “public” and “private” funds. I have made the assumption that “public funds” would be external funders, and “private funds” come from internal funders.</text>
  </threadedComment>
  <threadedComment ref="U72" dT="2023-10-05T17:00:59.81" personId="{FE278D75-FBAA-4E9F-AC56-F9262D4B3F58}" id="{23738302-96AC-5342-B584-56ECB168D098}" parentId="{B50BEBBC-4367-014E-BE39-16ACC17658F9}">
    <text>Pg. 89</text>
  </threadedComment>
  <threadedComment ref="A96" dT="2025-08-21T10:48:30.52" personId="{68290CC8-2028-473C-A4B6-93BA07C0D69F}" id="{C5DF9CA1-4AC7-46A2-B884-A8D8A92F9B47}">
    <text>There is budget info: Table 7.1, pg. 57 (more general, doesn’t mention gender); Annex I (Action plan implementation matrix) (pgs. 64-99); Annex II Summary of Surveys and Censues 2023-2027 (pgs. 100-111). Did not add this bc wasn’t sure which would be best. There is data on the cost for activities related to gender the surveys related to gender in these annexes but no “total” line. I did not fill out the info based on these bc I was unsure which to refer to (I assume that there might be double counting if I used both annexes).</text>
  </threadedComment>
  <threadedComment ref="Q96" dT="2025-08-27T12:10:33.76" personId="{68290CC8-2028-473C-A4B6-93BA07C0D69F}" id="{73F67FF9-76D4-471F-8EB5-D9D0669CECBE}">
    <text>Double check the math on this one, it got out of hand quickly bc of the large numbers</text>
  </threadedComment>
  <threadedComment ref="A99" dT="2025-08-21T12:01:30.24" personId="{68290CC8-2028-473C-A4B6-93BA07C0D69F}" id="{C3930888-0DB5-4A68-BACA-0AB07AB712F3}">
    <text xml:space="preserve">I found some articles on their NSO site and the SPC site referencing that they have their first ever NSDS, but was unable to actually find it (https://sdd.spc.int/news/2025/06/30/kiribati-power-data-landmark-statistics-launch-drive-kiribatis-development-pacific and https://nso.gov.ki/statistics/economy/ </text>
    <extLst>
      <x:ext xmlns:xltc2="http://schemas.microsoft.com/office/spreadsheetml/2020/threadedcomments2" uri="{F7C98A9C-CBB3-438F-8F68-D28B6AF4A901}">
        <xltc2:checksum>2908037779</xltc2:checksum>
        <xltc2:hyperlink startIndex="143" length="118" url="https://sdd.spc.int/news/2025/06/30/kiribati-power-data-landmark-statistics-launch-drive-kiribatis-development-pacific"/>
        <xltc2:hyperlink startIndex="266" length="38" url="https://nso.gov.ki/statistics/economy/"/>
      </x:ext>
    </extLst>
  </threadedComment>
  <threadedComment ref="A100" dT="2023-09-14T21:02:38.09" personId="{D890F60F-099B-4697-AE1F-2589EA16BBE7}" id="{C2E3FCD5-2F19-459D-8EEB-6905791E0831}" done="1">
    <text>Since the linked NSDS isn't specific to the country, should we say a plan is not available?</text>
  </threadedComment>
  <threadedComment ref="A100" dT="2023-09-15T15:38:52.22" personId="{C9624DFE-7A84-7B4F-9435-7673FB1C5250}" id="{67A8C8D8-7F4D-8946-8E5C-1ECA77516F40}" parentId="{C2E3FCD5-2F19-459D-8EEB-6905791E0831}">
    <text>Yes</text>
  </threadedComment>
  <threadedComment ref="A109" dT="2025-08-21T13:16:31.99" personId="{68290CC8-2028-473C-A4B6-93BA07C0D69F}" id="{02F31D4E-EABC-4183-835C-FC9D10FE4761}">
    <text>I found a new article from March 2025 saying the strategy is being worked on: https://www.sundaytimes.lk/250323/business-times/national-strategy-for-statistics-development-statistics-act-by-dcs-592687.html</text>
    <extLst>
      <x:ext xmlns:xltc2="http://schemas.microsoft.com/office/spreadsheetml/2020/threadedcomments2" uri="{F7C98A9C-CBB3-438F-8F68-D28B6AF4A901}">
        <xltc2:checksum>4102895505</xltc2:checksum>
        <xltc2:hyperlink startIndex="78" length="127" url="https://www.sundaytimes.lk/250323/business-times/national-strategy-for-statistics-development-statistics-act-by-dcs-592687.html"/>
      </x:ext>
    </extLst>
  </threadedComment>
  <threadedComment ref="F110" dT="2023-09-20T20:31:13.34" personId="{C9624DFE-7A84-7B4F-9435-7673FB1C5250}" id="{79C2A585-0E9C-F647-8716-32C184A49A0E}">
    <text>NSDS located on homepage— can’t right click to provide link of the ZIP file</text>
  </threadedComment>
  <threadedComment ref="Q110" dT="2023-08-23T20:58:34.02" personId="{D890F60F-099B-4697-AE1F-2589EA16BBE7}" id="{2A6A4765-C485-4E15-AE5D-A8F0F24734E5}">
    <text>should be double checked b/c so many gender components.</text>
  </threadedComment>
  <threadedComment ref="A112" dT="2023-09-14T20:53:38.54" personId="{D890F60F-099B-4697-AE1F-2589EA16BBE7}" id="{22672847-A86A-482C-94BB-B0F643B0793C}">
    <text>should i go through this: https://data.public.lu/en/pages/strategy/ ?</text>
    <extLst>
      <x:ext xmlns:xltc2="http://schemas.microsoft.com/office/spreadsheetml/2020/threadedcomments2" uri="{F7C98A9C-CBB3-438F-8F68-D28B6AF4A901}">
        <xltc2:checksum>3501132239</xltc2:checksum>
        <xltc2:hyperlink startIndex="26" length="41" url="https://data.public.lu/en/pages/strategy/"/>
      </x:ext>
    </extLst>
  </threadedComment>
  <threadedComment ref="A112" dT="2023-09-15T15:35:52.05" personId="{C9624DFE-7A84-7B4F-9435-7673FB1C5250}" id="{8ED7C695-B226-BE47-8E5C-F6636969836B}" parentId="{22672847-A86A-482C-94BB-B0F643B0793C}">
    <text>Yes, include it. We’ve included a few open data strategies (Bahrain, HK) in lieu of a statistical strategy or plan. @Lorenz Noe</text>
    <mentions>
      <mention mentionpersonId="{1A1CD24E-6BC4-5741-AFE1-BC011A023766}" mentionId="{64DD1681-ACE4-2047-93CC-15F06ABAF6F5}" startIndex="116" length="11"/>
    </mentions>
  </threadedComment>
  <threadedComment ref="D118" dT="2024-10-21T18:12:29.54" personId="{7416D84B-14F6-4A46-BEB1-5A2CFF774C2A}" id="{41719FDE-E612-4305-89B4-1024F0B24175}">
    <text>Should be here somewhere? https://www.biblio.micc.gov.mg/bspr/2024/04/30/strategie-nationale-de-developpement-de-la-statistiqes-snds-2023-2030/</text>
    <extLst>
      <x:ext xmlns:xltc2="http://schemas.microsoft.com/office/spreadsheetml/2020/threadedcomments2" uri="{F7C98A9C-CBB3-438F-8F68-D28B6AF4A901}">
        <xltc2:checksum>3633315594</xltc2:checksum>
        <xltc2:hyperlink startIndex="26" length="117" url="https://www.biblio.micc.gov.mg/bspr/2024/04/30/strategie-nationale-de-developpement-de-la-statistiqes-snds-2023-2030/"/>
      </x:ext>
    </extLst>
  </threadedComment>
  <threadedComment ref="A123" dT="2025-08-21T13:19:36.99" personId="{68290CC8-2028-473C-A4B6-93BA07C0D69F}" id="{88C8D88C-5683-4D7E-915D-6FFBB5A238C3}">
    <text>An article from august 2025 says that the 2025-2029 plan has been submitted for evaluation: https://www.maliweb.net/societe/16eme-session-technique-de-la-revue-annuelle-du-schema-directeur-de-la-statistique-3108322.html</text>
    <extLst>
      <x:ext xmlns:xltc2="http://schemas.microsoft.com/office/spreadsheetml/2020/threadedcomments2" uri="{F7C98A9C-CBB3-438F-8F68-D28B6AF4A901}">
        <xltc2:checksum>2341900673</xltc2:checksum>
        <xltc2:hyperlink startIndex="92" length="127" url="https://www.maliweb.net/societe/16eme-session-technique-de-la-revue-annuelle-du-schema-directeur-de-la-statistique-3108322.html"/>
      </x:ext>
    </extLst>
  </threadedComment>
  <threadedComment ref="A127" dT="2023-08-30T17:13:13.44" personId="{D890F60F-099B-4697-AE1F-2589EA16BBE7}" id="{5A167B4C-372A-4CFD-8862-FA374890A996}">
    <text>scanned PDF in Mongolian. Don't think I can adequately look through this one myself for gender references.</text>
  </threadedComment>
  <threadedComment ref="A128" dT="2025-08-25T11:38:23.27" personId="{0EA168EA-45D1-4C9D-999D-F3BF8CE1702A}" id="{21D05DA1-C79B-49FD-BE6C-660267EB3724}">
    <text xml:space="preserve">found this article from august 2025 about how there was a technical meeting to discuss the NSDS, but no mention of when it will be available: https://agenciadenoticias.ibge.gov.br/en/agencia-news/2184-news-agency/news/44270-ibge-receives-technical-visit-from-mozambique-to-discuss-strategic-plan </text>
    <extLst>
      <x:ext xmlns:xltc2="http://schemas.microsoft.com/office/spreadsheetml/2020/threadedcomments2" uri="{F7C98A9C-CBB3-438F-8F68-D28B6AF4A901}">
        <xltc2:checksum>1783201374</xltc2:checksum>
        <xltc2:hyperlink startIndex="142" length="153" url="https://agenciadenoticias.ibge.gov.br/en/agencia-news/2184-news-agency/news/44270-ibge-receives-technical-visit-from-mozambique-to-discuss-strategic-plan"/>
      </x:ext>
    </extLst>
  </threadedComment>
  <threadedComment ref="A131" dT="2025-08-25T11:39:43.13" personId="{0EA168EA-45D1-4C9D-999D-F3BF8CE1702A}" id="{4432761E-7E31-422B-8CDE-0707A978EC91}">
    <text>the PARIS21 doc says that it's in the design phase</text>
  </threadedComment>
  <threadedComment ref="N133" dT="2023-08-30T17:44:30.68" personId="{D890F60F-099B-4697-AE1F-2589EA16BBE7}" id="{C47627DC-2462-4735-807B-04397B6FD8E1}">
    <text>Would like a second opinion on this - see line number 6 on page 42 (table 6).</text>
  </threadedComment>
  <threadedComment ref="E134" dT="2023-09-27T21:50:44.69" personId="{7416D84B-14F6-4A46-BEB1-5A2CFF774C2A}" id="{A2F58A91-088F-4F89-90A9-92FED1BEA970}">
    <text>Have this strategy https://www.afristat.org/wp-content/uploads/2023/06/SNDS-III_Niger.pdf</text>
    <extLst>
      <x:ext xmlns:xltc2="http://schemas.microsoft.com/office/spreadsheetml/2020/threadedcomments2" uri="{F7C98A9C-CBB3-438F-8F68-D28B6AF4A901}">
        <xltc2:checksum>3591872794</xltc2:checksum>
        <xltc2:hyperlink startIndex="19" length="70" url="https://www.afristat.org/wp-content/uploads/2023/06/SNDS-III_Niger.pdf"/>
      </x:ext>
    </extLst>
  </threadedComment>
  <threadedComment ref="A135" dT="2025-08-25T11:47:58.12" personId="{0EA168EA-45D1-4C9D-999D-F3BF8CE1702A}" id="{0FFB0E7D-3214-43DC-84B6-DD2B3F3FE8CF}">
    <text xml:space="preserve">PARIS21 document says it's being finalized; this presentation says the 2024-2028 plan is "soon to be published" https://unece.org/sites/default/files/2025-05/DC2025_S5_Nigeria_Dzaan%26amp%3BOjo_P.pdf </text>
    <extLst>
      <x:ext xmlns:xltc2="http://schemas.microsoft.com/office/spreadsheetml/2020/threadedcomments2" uri="{F7C98A9C-CBB3-438F-8F68-D28B6AF4A901}">
        <xltc2:checksum>398118847</xltc2:checksum>
        <xltc2:hyperlink startIndex="112" length="87" url="https://unece.org/sites/default/files/2025-05/DC2025_S5_Nigeria_Dzaan%26amp%3BOjo_P.pdf"/>
      </x:ext>
    </extLst>
  </threadedComment>
  <threadedComment ref="A135" dT="2025-08-25T11:48:21.62" personId="{0EA168EA-45D1-4C9D-999D-F3BF8CE1702A}" id="{972A871B-0F6C-442F-8382-C87230F08168}" parentId="{0FFB0E7D-3214-43DC-84B6-DD2B3F3FE8CF}">
    <text xml:space="preserve">i found their Inclusive Data Charter Action Plan 2024-2028, but assume that doesn't count: https://www.data4sdgs.org/sites/default/files/file_uploads/Nigeria%20IDC%20Action%20Plan%202024%20-%202028%20FINAL_0.pdf </text>
    <extLst>
      <x:ext xmlns:xltc2="http://schemas.microsoft.com/office/spreadsheetml/2020/threadedcomments2" uri="{F7C98A9C-CBB3-438F-8F68-D28B6AF4A901}">
        <xltc2:checksum>2059782645</xltc2:checksum>
        <xltc2:hyperlink startIndex="91" length="120" url="https://www.data4sdgs.org/sites/default/files/file_uploads/Nigeria%20IDC%20Action%20Plan%202024%20-%202028%20FINAL_0.pdf"/>
      </x:ext>
    </extLst>
  </threadedComment>
  <threadedComment ref="Q148" dT="2023-08-31T15:58:57.02" personId="{D890F60F-099B-4697-AE1F-2589EA16BBE7}" id="{33C2D80D-A8A6-4119-B5E8-167B85C70852}">
    <text>Need a second opinion on this.</text>
  </threadedComment>
  <threadedComment ref="R157" dT="2025-08-25T13:17:54.49" personId="{68290CC8-2028-473C-A4B6-93BA07C0D69F}" id="{586A79FF-C558-4DD4-BBCA-54A0ED487D2C}" done="1">
    <text>Not 100% sure. There’s a budget that has the USD and RWF (Frw) on Table 8, pg. 91. The budget I was referring to to get the gender estimates was Annex 19, starting on  pg. 135. It doesn’t say whether this is USD or Frw. I assume it’s in Frw because the numbers do not match what is given in USD in Table 8. (it also doesn’t match what’s given in Rfw in Table 8, but it’s significantly closer.)</text>
  </threadedComment>
  <threadedComment ref="A160" dT="2025-08-25T13:30:46.39" personId="{68290CC8-2028-473C-A4B6-93BA07C0D69F}" id="{2EB11A4B-C9F0-4409-BCFF-1C6BE27A9A36}">
    <text xml:space="preserve">This UN Women document says the 2024-2028 plan was finalized and sent for validation in December 2023 (https://data.unwomen.org/sites/default/files/documents/Women%20Count/Women_Count_Brief_Senegal.pdf &gt; pg. 3) and cites this article (https://lequotidien.sn/systeme-statistique-national-le-dg-de-lansd-predit-une-perspective-prometteuse/?sfw=pass1756128411). I was unable to find this new plan anywhere. The NSO has this document about the planning of it: https://www.statsenegal.sn/sites/default/files/2023-07/SNDSIV.pdf </text>
    <extLst>
      <x:ext xmlns:xltc2="http://schemas.microsoft.com/office/spreadsheetml/2020/threadedcomments2" uri="{F7C98A9C-CBB3-438F-8F68-D28B6AF4A901}">
        <xltc2:checksum>973912429</xltc2:checksum>
        <xltc2:hyperlink startIndex="103" length="98" url="https://data.unwomen.org/sites/default/files/documents/Women%20Count/Women_Count_Brief_Senegal.pdf"/>
        <xltc2:hyperlink startIndex="235" length="121" url="https://lequotidien.sn/systeme-statistique-national-le-dg-de-lansd-predit-une-perspective-prometteuse/?sfw=pass1756128411"/>
        <xltc2:hyperlink startIndex="456" length="65" url="https://www.statsenegal.sn/sites/default/files/2023-07/SNDSIV.pdf"/>
      </x:ext>
    </extLst>
  </threadedComment>
  <threadedComment ref="P160" dT="2023-09-05T14:14:08.24" personId="{D890F60F-099B-4697-AE1F-2589EA16BBE7}" id="{07D6D6CA-C10D-4C14-B9BD-78EC52C1CCB0}">
    <text>Lots of gender-related line items, might be helpful if someone else could please double check that I captured everything correctly here.</text>
  </threadedComment>
  <threadedComment ref="A168" dT="2025-08-25T13:33:35.63" personId="{68290CC8-2028-473C-A4B6-93BA07C0D69F}" id="{14E077BF-84B3-404F-BA69-CBA727A953FD}">
    <text>I found this “Revised National Development Strategy 2024” but it still is just for 2021-2024 https://nbs.gov.ss/wp-content/uploads/2022/06/South-Sudan-NDS_Print-14-June-2022.pdf</text>
    <extLst>
      <x:ext xmlns:xltc2="http://schemas.microsoft.com/office/spreadsheetml/2020/threadedcomments2" uri="{F7C98A9C-CBB3-438F-8F68-D28B6AF4A901}">
        <xltc2:checksum>2811422625</xltc2:checksum>
        <xltc2:hyperlink startIndex="93" length="84" url="https://nbs.gov.ss/wp-content/uploads/2022/06/South-Sudan-NDS_Print-14-June-2022.pdf"/>
      </x:ext>
    </extLst>
  </threadedComment>
  <threadedComment ref="A168" dT="2025-08-25T13:33:52.87" personId="{68290CC8-2028-473C-A4B6-93BA07C0D69F}" id="{AF0C3074-C851-46D8-AB34-987BA8F79F1C}" parentId="{14E077BF-84B3-404F-BA69-CBA727A953FD}">
    <text>Should I update the one that’s currently there? It’s from 2008</text>
  </threadedComment>
  <threadedComment ref="A168" dT="2025-11-05T18:06:26.26" personId="{7416D84B-14F6-4A46-BEB1-5A2CFF774C2A}" id="{42D744E6-8D63-4E72-9307-4834C366B104}" parentId="{14E077BF-84B3-404F-BA69-CBA727A953FD}">
    <text>That’s a national development strategy, not related directly to statistics</text>
  </threadedComment>
  <threadedComment ref="A169" dT="2025-08-25T13:39:40.50" personId="{68290CC8-2028-473C-A4B6-93BA07C0D69F}" id="{C3BEDE5A-C721-49EC-B056-51564A355AD4}">
    <text>Facebook post from May about the “launch of the process of elaboration” of the ENDE 2025-2029, but not yet available: https://www.facebook.com/groups/STP.TelaNon/posts/10163245486241122/</text>
    <extLst>
      <x:ext xmlns:xltc2="http://schemas.microsoft.com/office/spreadsheetml/2020/threadedcomments2" uri="{F7C98A9C-CBB3-438F-8F68-D28B6AF4A901}">
        <xltc2:checksum>3184257301</xltc2:checksum>
        <xltc2:hyperlink startIndex="118" length="68" url="https://www.facebook.com/groups/STP.TelaNon/posts/10163245486241122/"/>
      </x:ext>
    </extLst>
  </threadedComment>
  <threadedComment ref="A170" dT="2025-08-25T13:41:57.19" personId="{68290CC8-2028-473C-A4B6-93BA07C0D69F}" id="{BE2619F3-7208-4637-BA80-A1D1888860FB}">
    <text>Even though it doesn’t seen they have an NSDS, there is a press release from the president in 2020 that says “The President confirms the commit of the General Bureau of Statistics to the National Strategy for the Development of Statistics “ https://worldstatisticsday.org/2020/blog/suriname-president-message-wsd.html</text>
    <extLst>
      <x:ext xmlns:xltc2="http://schemas.microsoft.com/office/spreadsheetml/2020/threadedcomments2" uri="{F7C98A9C-CBB3-438F-8F68-D28B6AF4A901}">
        <xltc2:checksum>2741643899</xltc2:checksum>
        <xltc2:hyperlink startIndex="241" length="76" url="https://worldstatisticsday.org/2020/blog/suriname-president-message-wsd.html"/>
      </x:ext>
    </extLst>
  </threadedComment>
  <threadedComment ref="A174" dT="2025-08-25T13:45:19.19" personId="{68290CC8-2028-473C-A4B6-93BA07C0D69F}" id="{7E76812F-350F-48E8-91B0-9E3A17EE258B}">
    <text>Still referred to as “Swaziland” in the clearinghouse site gender profile</text>
  </threadedComment>
  <threadedComment ref="D189" dT="2023-05-05T17:28:31.50" personId="{C9624DFE-7A84-7B4F-9435-7673FB1C5250}" id="{FA36CC81-C59C-FA4E-A193-F9FD41BE2328}" done="1">
    <text>@Taylor Hadnot Please update NSDS: Tanzania Statistical Master Plan Phase Two (TSMP II) 2022/23 – 2026/27</text>
    <mentions>
      <mention mentionpersonId="{C129A552-3D2D-4D9E-91B8-B8CA11CF2799}" mentionId="{0A7E8F3D-3180-9245-A5BB-15A7A03E59CD}" startIndex="0" length="14"/>
    </mentions>
  </threadedComment>
  <threadedComment ref="F189" dT="2023-05-05T17:28:45.65" personId="{C9624DFE-7A84-7B4F-9435-7673FB1C5250}" id="{C341D00E-FC9A-AC4E-9799-90E8388B0FE1}" done="1">
    <text>@Taylor Hadnot https://www.nbs.go.tz/nbs/takwimu/tsmp/TSMP_II_Strategy.pdf</text>
    <mentions>
      <mention mentionpersonId="{C129A552-3D2D-4D9E-91B8-B8CA11CF2799}" mentionId="{415CFA6E-1494-0E43-BB1C-EE5D02CB20BA}" startIndex="0" length="14"/>
    </mentions>
  </threadedComment>
  <threadedComment ref="D198" dT="2023-07-20T16:16:14.61" personId="{D890F60F-099B-4697-AE1F-2589EA16BBE7}" id="{36EFE86F-F3BE-4790-A45C-970A802CAEEE}" done="1">
    <text>More recent NSDS (2022-2026) is completed and waiting adoption, so no link available yet</text>
  </threadedComment>
  <threadedComment ref="D198" dT="2023-07-20T17:52:19.18" personId="{C9624DFE-7A84-7B4F-9435-7673FB1C5250}" id="{3C96C913-37BF-4EA1-B4B5-1FDE0557BC12}" parentId="{36EFE86F-F3BE-4790-A45C-970A802CAEEE}">
    <text>Let's use this recently outdated NSDS, but note that in the comments that the most recent is awaiting adoption: https://smartdatafinance.org/storage/2021-09-30/zvVEpqD1JnRsRfx.pdf</text>
  </threadedComment>
  <threadedComment ref="D198" dT="2023-07-20T17:54:52.95" personId="{C9624DFE-7A84-7B4F-9435-7673FB1C5250}" id="{E24EED69-FCAA-4082-9C47-957F273858C7}" parentId="{36EFE86F-F3BE-4790-A45C-970A802CAEEE}">
    <text>Sorry, wrong link. This is the correct one: https://vnso.gov.vu/images/Special_Report/NSDS/NSDS.pdf</text>
  </threadedComment>
  <threadedComment ref="A201" dT="2025-08-25T13:52:01.67" personId="{68290CC8-2028-473C-A4B6-93BA07C0D69F}" id="{0EE821A2-F231-429E-8838-63684AC3F57A}">
    <text>The PARIS21 document mentions Yemen’s “The first national strategy of the Central Bureau of Statistics (roadmap)” for 2021 - (no end date). I was able to find the page of their NSO that has the strategy, but you have to request to download and fill out information (https://cso-ye.org/en/national-strategy/). Not sure if this is considered an NSDS anyway bc the PARIs21 doc just lists it as a roadmap ?</text>
    <extLst>
      <x:ext xmlns:xltc2="http://schemas.microsoft.com/office/spreadsheetml/2020/threadedcomments2" uri="{F7C98A9C-CBB3-438F-8F68-D28B6AF4A901}">
        <xltc2:checksum>2610461621</xltc2:checksum>
        <xltc2:hyperlink startIndex="266" length="40" url="https://cso-ye.org/en/national-strategy/"/>
      </x:ext>
    </extLst>
  </threadedComment>
  <threadedComment ref="E201" dT="2023-09-27T22:22:22.31" personId="{7416D84B-14F6-4A46-BEB1-5A2CFF774C2A}" id="{F2924A6F-3BBF-425C-89D8-AE3204113C46}">
    <text>We have this, but not worth it, as it's very out of date https://smartdatafinance.org/storage/2021-09-30/1Q4fDoVY98S8L1E.pdf</text>
    <extLst>
      <x:ext xmlns:xltc2="http://schemas.microsoft.com/office/spreadsheetml/2020/threadedcomments2" uri="{F7C98A9C-CBB3-438F-8F68-D28B6AF4A901}">
        <xltc2:checksum>2262373828</xltc2:checksum>
        <xltc2:hyperlink startIndex="57" length="67" url="https://smartdatafinance.org/storage/2021-09-30/1Q4fDoVY98S8L1E.pdf"/>
      </x:ext>
    </extLst>
  </threadedComment>
  <threadedComment ref="F204" dT="2023-04-24T10:27:47.31" personId="{FE278D75-FBAA-4E9F-AC56-F9262D4B3F58}" id="{D26B7375-F12A-5A4A-B4BB-C8A163FA0028}" done="1">
    <text>Paris21 report says the new NSDS plan is "Being designed"</text>
  </threadedComment>
  <threadedComment ref="F204" dT="2023-04-24T15:32:44.39" personId="{C9624DFE-7A84-7B4F-9435-7673FB1C5250}" id="{A0D31918-21A3-354F-8D0E-2B6E08C3DD65}" parentId="{D26B7375-F12A-5A4A-B4BB-C8A163FA0028}">
    <text>OK, thank you.</text>
  </threadedComment>
  <threadedComment ref="R204" dT="2025-08-25T13:56:32.56" personId="{68290CC8-2028-473C-A4B6-93BA07C0D69F}" id="{8DFEF3DE-CC02-4510-AF8D-C7A26218ADFC}" done="1">
    <text>Confused about this becasuse the non-detailed budget is in USD (pg .xiii) but says the grand total is 98,336,650 USD. The detailed budget (starts on pg. 25) says the grand total is 216,573,139 (with no currency specified) ???</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www.bos.gov.ls/" TargetMode="External"/><Relationship Id="rId21" Type="http://schemas.openxmlformats.org/officeDocument/2006/relationships/hyperlink" Target="https://www.csb.gov.kw/About?ID=Strategy" TargetMode="External"/><Relationship Id="rId42" Type="http://schemas.openxmlformats.org/officeDocument/2006/relationships/hyperlink" Target="https://www.ssb.no/en/omssb/ssbs-virksomhet/planer-og-meldinger/strategi-for-ssb/strategi-for-ssb-20212023" TargetMode="External"/><Relationship Id="rId47" Type="http://schemas.openxmlformats.org/officeDocument/2006/relationships/hyperlink" Target="https://smartdatafinance.org/storage/2021-09-30/Nz7blXqVLYpg5qq.pdf" TargetMode="External"/><Relationship Id="rId63" Type="http://schemas.openxmlformats.org/officeDocument/2006/relationships/hyperlink" Target="https://stat.gov.kg/media/files/51deb952-67b3-4a65-84d0-d89b76ffce48.pdf" TargetMode="External"/><Relationship Id="rId68" Type="http://schemas.openxmlformats.org/officeDocument/2006/relationships/hyperlink" Target="http://www.nsomalawi.mw/images/stories/NSSACTIVITIES/national%20statistical%20system%20strategic%20plan%202019-2023.pdf" TargetMode="External"/><Relationship Id="rId84" Type="http://schemas.openxmlformats.org/officeDocument/2006/relationships/hyperlink" Target="http://nigerianstat.gov.ng/download/709" TargetMode="External"/><Relationship Id="rId89" Type="http://schemas.openxmlformats.org/officeDocument/2006/relationships/hyperlink" Target="https://png-data.sprep.org/dataset/strategy-development-statistics-2018-2027" TargetMode="External"/><Relationship Id="rId112" Type="http://schemas.openxmlformats.org/officeDocument/2006/relationships/vmlDrawing" Target="../drawings/vmlDrawing1.vml"/><Relationship Id="rId16" Type="http://schemas.openxmlformats.org/officeDocument/2006/relationships/hyperlink" Target="https://www.nbs.go.tz/nbs/takwimu/tsmp/TSMP_II_Strategy.pdf" TargetMode="External"/><Relationship Id="rId107" Type="http://schemas.openxmlformats.org/officeDocument/2006/relationships/hyperlink" Target="https://www.afristat.org/wp-content/uploads/2023/06/SNDS_2022-2026_Congo.pdf" TargetMode="External"/><Relationship Id="rId11" Type="http://schemas.openxmlformats.org/officeDocument/2006/relationships/hyperlink" Target="https://www.abs.gov.au/about/our-organisation/corporate-reporting/abs-corporate-plan/latest-release" TargetMode="External"/><Relationship Id="rId32" Type="http://schemas.openxmlformats.org/officeDocument/2006/relationships/hyperlink" Target="https://nso.gov.mt/wp-content/uploads/Work-Programme_2023-2025.pdf" TargetMode="External"/><Relationship Id="rId37" Type="http://schemas.openxmlformats.org/officeDocument/2006/relationships/hyperlink" Target="http://www.paris21.org/sites/default/files/DRC%20SNDS%202012-17.pdf" TargetMode="External"/><Relationship Id="rId53" Type="http://schemas.openxmlformats.org/officeDocument/2006/relationships/hyperlink" Target="https://www.stat-guinee.org/images/Documents/Publications/Textes/SNDS%202016-2020.pdf" TargetMode="External"/><Relationship Id="rId58" Type="http://schemas.openxmlformats.org/officeDocument/2006/relationships/hyperlink" Target="https://www.mospi.gov.in/sites/default/files/main_menu/parliament_matters/Vision_2024_of_MoSPI.pdf" TargetMode="External"/><Relationship Id="rId74" Type="http://schemas.openxmlformats.org/officeDocument/2006/relationships/hyperlink" Target="https://www.dosm.gov.my/v1/uploads/files/4_Portal%20Content/1_About%20us/6_Strategic_Plan/Pelan-Strategik-DOSM-2021-2025.pdf" TargetMode="External"/><Relationship Id="rId79" Type="http://schemas.openxmlformats.org/officeDocument/2006/relationships/hyperlink" Target="https://ine.gov.mz/en/web/guest/d/pe-sen-2025-2029-pos-cse-2025" TargetMode="External"/><Relationship Id="rId102" Type="http://schemas.openxmlformats.org/officeDocument/2006/relationships/hyperlink" Target="http://www.statsethiopia.gov.et/wp-content/uploads/2024/02/ETHIOPIAN-STATISTICS-DEVELOPMENT-PROGRAM-ESDP-E.F.Y.-2016-2018-2024-2026-G.C..pdf" TargetMode="External"/><Relationship Id="rId5" Type="http://schemas.openxmlformats.org/officeDocument/2006/relationships/hyperlink" Target="https://www5.ine.gub.uy/documents/SEN/Plan%20Estad%C3%ADstico%20Nacional/Plan%20Estad%C3%ADstico%20Nacional%202022%202025.pdf" TargetMode="External"/><Relationship Id="rId90" Type="http://schemas.openxmlformats.org/officeDocument/2006/relationships/hyperlink" Target="https://statsghana.gov.gh/gssmain/storage/img/NSDS%20II%20Ghana_Revised_16.03.18.pdf" TargetMode="External"/><Relationship Id="rId95" Type="http://schemas.openxmlformats.org/officeDocument/2006/relationships/hyperlink" Target="https://www.statssa.gov.za/strategy_plan/Stats%20SA%20Strategic%20Plan.pdf" TargetMode="External"/><Relationship Id="rId22" Type="http://schemas.openxmlformats.org/officeDocument/2006/relationships/hyperlink" Target="https://www.csp.gov.lv/en/media/1103/download?attachment" TargetMode="External"/><Relationship Id="rId27" Type="http://schemas.openxmlformats.org/officeDocument/2006/relationships/hyperlink" Target="http://www.paris21.org/sites/default/files/Botswana_Strategy_for_the_Development_of_Statistics__BSDS__-_2015_-_2020.pdf" TargetMode="External"/><Relationship Id="rId43" Type="http://schemas.openxmlformats.org/officeDocument/2006/relationships/hyperlink" Target="https://www.inec.gob.pa/sistema/sic_archivos/PEN%202021-2025%20(Publicado%20en%20Gaceta%20Oficial).pdf" TargetMode="External"/><Relationship Id="rId48" Type="http://schemas.openxmlformats.org/officeDocument/2006/relationships/hyperlink" Target="https://www.one.gob.do/sobre-nosotros/plan-estrategico/" TargetMode="External"/><Relationship Id="rId64" Type="http://schemas.openxmlformats.org/officeDocument/2006/relationships/hyperlink" Target="https://paris21.org/sites/default/files/2018-04/NSDS-Libya-En.pdf" TargetMode="External"/><Relationship Id="rId69" Type="http://schemas.openxmlformats.org/officeDocument/2006/relationships/hyperlink" Target="https://afristat.org/wp-content/uploads/2022/04/22_Togo-SNDS-II_Adopte-CNS-le-27aout20_avant-propos-signe-MPDC.pdf" TargetMode="External"/><Relationship Id="rId113" Type="http://schemas.openxmlformats.org/officeDocument/2006/relationships/comments" Target="../comments1.xml"/><Relationship Id="rId80" Type="http://schemas.openxmlformats.org/officeDocument/2006/relationships/hyperlink" Target="http://www.paris21.org/sites/default/files/Myanmar%20NSDS-%20core%20strategy%20%28English%20Ver%29_Jul%202016.pdf" TargetMode="External"/><Relationship Id="rId85" Type="http://schemas.openxmlformats.org/officeDocument/2006/relationships/hyperlink" Target="https://www.pcbs.gov.ps/Portals/_Rainbow/Documents/PalDataStrategyPDS2022-2026E.pdf" TargetMode="External"/><Relationship Id="rId12" Type="http://schemas.openxmlformats.org/officeDocument/2006/relationships/hyperlink" Target="https://www.stat.gov.az/menu/2/state_programs/2018_2025/source/en/2018-2025_DP_ENG.pdf" TargetMode="External"/><Relationship Id="rId17" Type="http://schemas.openxmlformats.org/officeDocument/2006/relationships/hyperlink" Target="https://www.nbs.gov.sc/about/nbs-plans/1465-seychelles-nsps-2023-2027/viewdocument/1465" TargetMode="External"/><Relationship Id="rId33" Type="http://schemas.openxmlformats.org/officeDocument/2006/relationships/hyperlink" Target="https://afristat.org/wp-content/uploads/2022/04/17_SNDDS-2021-2030-plan-dactions-2021-2025.pdf" TargetMode="External"/><Relationship Id="rId38" Type="http://schemas.openxmlformats.org/officeDocument/2006/relationships/hyperlink" Target="https://admin.sen.inec.cr/sites/default/files/2024-03/Documento%20PEN%202023%20-%202027.pdf" TargetMode="External"/><Relationship Id="rId59" Type="http://schemas.openxmlformats.org/officeDocument/2006/relationships/hyperlink" Target="https://www.bps.go.id/website/fileMenu/Renstra-BPS-2020-2024.pdf" TargetMode="External"/><Relationship Id="rId103" Type="http://schemas.openxmlformats.org/officeDocument/2006/relationships/hyperlink" Target="https://data.public.lu/en/pages/strategy/" TargetMode="External"/><Relationship Id="rId108" Type="http://schemas.openxmlformats.org/officeDocument/2006/relationships/hyperlink" Target="https://inege.gq/wp-content/uploads/2023/09/ENDE-2022-2026.pdf" TargetMode="External"/><Relationship Id="rId54" Type="http://schemas.openxmlformats.org/officeDocument/2006/relationships/hyperlink" Target="https://paris21.org/sites/default/files/2018-10/guinee-bissau_SNDS_Resume_FR_print_final.pdf" TargetMode="External"/><Relationship Id="rId70" Type="http://schemas.openxmlformats.org/officeDocument/2006/relationships/hyperlink" Target="https://inetl-ip.gov.tl/2024/05/29/timor-leste-national-strategy-for-development-of-statistics-nsds-2023-2033/" TargetMode="External"/><Relationship Id="rId75" Type="http://schemas.openxmlformats.org/officeDocument/2006/relationships/hyperlink" Target="https://www.instat-mali.org/laravel-filemanager/files/shares/ca/sdsmli20-24_ca.pdf" TargetMode="External"/><Relationship Id="rId91" Type="http://schemas.openxmlformats.org/officeDocument/2006/relationships/hyperlink" Target="https://www.statistics.gov.sb/sinso-documents?view=download&amp;format=raw&amp;fileId=614" TargetMode="External"/><Relationship Id="rId96" Type="http://schemas.openxmlformats.org/officeDocument/2006/relationships/hyperlink" Target="https://ssccse.org/wp-content/uploads/2018/09/masterplan.pdf" TargetMode="External"/><Relationship Id="rId1" Type="http://schemas.openxmlformats.org/officeDocument/2006/relationships/hyperlink" Target="http://www.cso-yemen.org/publication/smp/english.pdf" TargetMode="External"/><Relationship Id="rId6" Type="http://schemas.openxmlformats.org/officeDocument/2006/relationships/hyperlink" Target="https://stat.uz/en/legal-acts/national-strategy-for-development-of-statistics" TargetMode="External"/><Relationship Id="rId15" Type="http://schemas.openxmlformats.org/officeDocument/2006/relationships/hyperlink" Target="https://www.belstat.gov.by/upload-belstat/upload-belstat-pdf/o-belstate/Stategija_2022-211025-en.pdf" TargetMode="External"/><Relationship Id="rId23" Type="http://schemas.openxmlformats.org/officeDocument/2006/relationships/hyperlink" Target="https://afristat.org/wp-content/uploads/2022/04/1_Benin-SNDS-2020-2023.pdf" TargetMode="External"/><Relationship Id="rId28" Type="http://schemas.openxmlformats.org/officeDocument/2006/relationships/hyperlink" Target="https://www.ibge.gov.br/np_download/novoportal/documentos_institucionais/Plano_Estrategico_2017_2027.pdf" TargetMode="External"/><Relationship Id="rId36" Type="http://schemas.openxmlformats.org/officeDocument/2006/relationships/hyperlink" Target="https://www.sen.gov.co/sites/default/files/noticias-files/2023-12/plan_estadistico_naciona_2023-2027_0.pdf" TargetMode="External"/><Relationship Id="rId49" Type="http://schemas.openxmlformats.org/officeDocument/2006/relationships/hyperlink" Target="https://www.ecuadorencifras.gob.ec/documentos/web-inec/Sistema_Estadistico_Nacional/Planificacion_Estadistica/Programa_Nacional_de_Estadistica_2021-2025.pdf" TargetMode="External"/><Relationship Id="rId57" Type="http://schemas.openxmlformats.org/officeDocument/2006/relationships/hyperlink" Target="https://www.stat.gov.rs/en-us/o-nama/dokumenti/" TargetMode="External"/><Relationship Id="rId106" Type="http://schemas.openxmlformats.org/officeDocument/2006/relationships/hyperlink" Target="https://afristat.org/wp-content/uploads/2022/04/6_RCA_SNDS-2021-2025-Finalisee.pdf" TargetMode="External"/><Relationship Id="rId114" Type="http://schemas.microsoft.com/office/2017/10/relationships/threadedComment" Target="../threadedComments/threadedComment1.xml"/><Relationship Id="rId10" Type="http://schemas.openxmlformats.org/officeDocument/2006/relationships/hyperlink" Target="https://www.indec.gob.ar/ftp/cuadros/menusuperior/documentos-auxiliares/plan_estrategico_INDEC_2021_2026.pdf" TargetMode="External"/><Relationship Id="rId31" Type="http://schemas.openxmlformats.org/officeDocument/2006/relationships/hyperlink" Target="https://www.nis.gov.kh/nis/NSDS/NSDS%20book.pdf" TargetMode="External"/><Relationship Id="rId44" Type="http://schemas.openxmlformats.org/officeDocument/2006/relationships/hyperlink" Target="https://www.ine.gov.py/Publicaciones/Biblioteca/documento/eda7_EEG%20PRY%202021%20-%202025.pdf" TargetMode="External"/><Relationship Id="rId52" Type="http://schemas.openxmlformats.org/officeDocument/2006/relationships/hyperlink" Target="https://www.mogcsp.gov.gh/mdocs-posts/five-year-strategic-plan-for-gender-statistics/" TargetMode="External"/><Relationship Id="rId60" Type="http://schemas.openxmlformats.org/officeDocument/2006/relationships/hyperlink" Target="https://cosit.gov.iq/images/pdf/workplan2023.pdf" TargetMode="External"/><Relationship Id="rId65" Type="http://schemas.openxmlformats.org/officeDocument/2006/relationships/hyperlink" Target="https://paris21.org/sites/default/files/2018-11/Tonga-NSDS%202018.pdf" TargetMode="External"/><Relationship Id="rId73" Type="http://schemas.openxmlformats.org/officeDocument/2006/relationships/hyperlink" Target="http://statisticsmaldives.gov.mv/nbs/wp-content/uploads/2021/11/NSDS-Maldives.pdf" TargetMode="External"/><Relationship Id="rId78" Type="http://schemas.openxmlformats.org/officeDocument/2006/relationships/hyperlink" Target="https://monstat.org/userfiles/file/strategija%20razvoja/19%20%2006%2019%20Strategija%20razvoja%20zvanicne%20statitike%202019-2023-%20eng.pdf" TargetMode="External"/><Relationship Id="rId81" Type="http://schemas.openxmlformats.org/officeDocument/2006/relationships/hyperlink" Target="https://cbs.gov.np/wp-content/upLoads/2020/01/National-Strategy-for-the-Development-of-Statistical-System_Final.pdf" TargetMode="External"/><Relationship Id="rId86" Type="http://schemas.openxmlformats.org/officeDocument/2006/relationships/hyperlink" Target="https://www.inei.gob.pe/media/MenuRecursivo/plan_estadistico_nacional/pendes_2018.pdf" TargetMode="External"/><Relationship Id="rId94" Type="http://schemas.openxmlformats.org/officeDocument/2006/relationships/hyperlink" Target="https://www.ansd.sn/sites/default/files/2022-04/Rapport-final-SNDS-III%20%282%29.pdf" TargetMode="External"/><Relationship Id="rId99" Type="http://schemas.openxmlformats.org/officeDocument/2006/relationships/hyperlink" Target="https://stats.gov.vc/national-strategy-for-the-development-of-statistics-nsds-2021-2025-st-vincent-and-the-grenadines/" TargetMode="External"/><Relationship Id="rId101" Type="http://schemas.openxmlformats.org/officeDocument/2006/relationships/hyperlink" Target="http://www.ine.gob.ve/index.php?option=com_content&amp;id=18&amp;Itemid=8;tmpl=component" TargetMode="External"/><Relationship Id="rId4" Type="http://schemas.openxmlformats.org/officeDocument/2006/relationships/hyperlink" Target="https://uksa.statisticsauthority.gov.uk/wp-content/uploads/2020/07/ONS-Business-Plan-2020.pdf" TargetMode="External"/><Relationship Id="rId9" Type="http://schemas.openxmlformats.org/officeDocument/2006/relationships/hyperlink" Target="http://www.instat.gov.al/media/3986/development-strategy-of-instat-2017-2030.pdf" TargetMode="External"/><Relationship Id="rId13" Type="http://schemas.openxmlformats.org/officeDocument/2006/relationships/hyperlink" Target="http://www.paris21.org/sites/default/files/Bangladesh%20NSDS_2013-23_Final%20Cabinet%20approved.pdf" TargetMode="External"/><Relationship Id="rId18" Type="http://schemas.openxmlformats.org/officeDocument/2006/relationships/hyperlink" Target="https://bhas.gov.ba/data/Dokumenti/Planovi/STATISTICKI_PROGRAM_BIH_2021_2024.pdf" TargetMode="External"/><Relationship Id="rId39" Type="http://schemas.openxmlformats.org/officeDocument/2006/relationships/hyperlink" Target="https://nsa.nsa.org.na/wp-content/uploads/2023/07/NSDS-Report.pdf" TargetMode="External"/><Relationship Id="rId109" Type="http://schemas.openxmlformats.org/officeDocument/2006/relationships/hyperlink" Target="https://www.afristat.org/wp-content/uploads/2023/06/SNDS-III_Niger.pdf" TargetMode="External"/><Relationship Id="rId34" Type="http://schemas.openxmlformats.org/officeDocument/2006/relationships/hyperlink" Target="https://statsmauritius.govmu.org/Documents/Homepage/Around_Statistics/Strategy%20for%20Official%20Statistics%202020-2025.pdf" TargetMode="External"/><Relationship Id="rId50" Type="http://schemas.openxmlformats.org/officeDocument/2006/relationships/hyperlink" Target="https://www.insee.fr/en/statistiques/fichier/4195175/INSEE-2025-en.pdf" TargetMode="External"/><Relationship Id="rId55" Type="http://schemas.openxmlformats.org/officeDocument/2006/relationships/hyperlink" Target="https://www.censtatd.gov.hk/en/FileManager/Annual%20Open%20Data%20Plan%20for%202022-2024.pdf" TargetMode="External"/><Relationship Id="rId76" Type="http://schemas.openxmlformats.org/officeDocument/2006/relationships/hyperlink" Target="http://dof.gob.mx/nota_detalle.php?codigo=5598031&amp;fecha=07/08/2020" TargetMode="External"/><Relationship Id="rId97" Type="http://schemas.openxmlformats.org/officeDocument/2006/relationships/hyperlink" Target="https://psa.gov.ph/philippine-statistical-system/psdp/primer/2023-2029" TargetMode="External"/><Relationship Id="rId104" Type="http://schemas.openxmlformats.org/officeDocument/2006/relationships/hyperlink" Target="https://insse.ro/cms/files/legislatie/Initiative%20legislative/2022/Proiect_strategie_2022-2027_final_30.03.2022.pdf" TargetMode="External"/><Relationship Id="rId7" Type="http://schemas.openxmlformats.org/officeDocument/2006/relationships/hyperlink" Target="http://paris21.org/sites/default/files/VIETNAM_roadmap_E-final.pdf" TargetMode="External"/><Relationship Id="rId71" Type="http://schemas.openxmlformats.org/officeDocument/2006/relationships/hyperlink" Target="https://alpha.statistics.gov.rw/sites/default/files/documents/2025-05/NSDS4%20%282024_2029%29.pdf" TargetMode="External"/><Relationship Id="rId92" Type="http://schemas.openxmlformats.org/officeDocument/2006/relationships/hyperlink" Target="https://www.stats.gov.sa/en/page/63" TargetMode="External"/><Relationship Id="rId2" Type="http://schemas.openxmlformats.org/officeDocument/2006/relationships/hyperlink" Target="https://www.ubos.org/wp-content/uploads/publications/08_2021THIRD_PLAN_FOR_NATIONAL_STATISTICAL_DEVELOPMENT_FY2020_21_FY2024_25.pdf" TargetMode="External"/><Relationship Id="rId29" Type="http://schemas.openxmlformats.org/officeDocument/2006/relationships/hyperlink" Target="https://www.insd.bf/sites/default/files/2022-01/SDS-2021-2025.pdf" TargetMode="External"/><Relationship Id="rId24" Type="http://schemas.openxmlformats.org/officeDocument/2006/relationships/hyperlink" Target="https://www.ine.gob.bo/index.php/descarga/715/plan-estrategico-institucional-2021-2025/59739/pei-2021-2025-del-ine.pdf" TargetMode="External"/><Relationship Id="rId40" Type="http://schemas.openxmlformats.org/officeDocument/2006/relationships/hyperlink" Target="https://www.stats.govt.nz/corporate/stats-nzs-statement-of-strategic-intentions-2021-2025" TargetMode="External"/><Relationship Id="rId45" Type="http://schemas.openxmlformats.org/officeDocument/2006/relationships/hyperlink" Target="https://www.ine.gov.py/pdfjs/web/viewer.html?file=ENDE%202021-2030%20(2023)%20FINAL.pdf" TargetMode="External"/><Relationship Id="rId66" Type="http://schemas.openxmlformats.org/officeDocument/2006/relationships/hyperlink" Target="https://www.bfs.admin.ch/bfs/en/home.assetdetail.3862240.html" TargetMode="External"/><Relationship Id="rId87" Type="http://schemas.openxmlformats.org/officeDocument/2006/relationships/hyperlink" Target="https://www.sbs.gov.ws/strategy/" TargetMode="External"/><Relationship Id="rId110" Type="http://schemas.openxmlformats.org/officeDocument/2006/relationships/hyperlink" Target="https://www.knbs.or.ke/wp-content/uploads/2024/03/Kenya-National-Bureau-of-Statistics-Strategic-Plan-2023-2027.pdf" TargetMode="External"/><Relationship Id="rId115" Type="http://schemas.microsoft.com/office/2019/04/relationships/documenttask" Target="../documenttasks/documenttask1.xml"/><Relationship Id="rId61" Type="http://schemas.openxmlformats.org/officeDocument/2006/relationships/hyperlink" Target="https://paris21.org/sites/default/files/2019-05/JPRDAN_NSDS%2018-22.pdf" TargetMode="External"/><Relationship Id="rId82" Type="http://schemas.openxmlformats.org/officeDocument/2006/relationships/hyperlink" Target="https://statistica.gov.md/public/files/despre/legi_hotariri/Strategy_SD_SSN_2016_2020_eng.pdf" TargetMode="External"/><Relationship Id="rId19" Type="http://schemas.openxmlformats.org/officeDocument/2006/relationships/hyperlink" Target="https://www.nsi.bg/sites/default/files/files/pages/uplf_e/Strategy2021-2027_EN.pdf" TargetMode="External"/><Relationship Id="rId14" Type="http://schemas.openxmlformats.org/officeDocument/2006/relationships/hyperlink" Target="https://www.statistik.at/fileadmin/pages/535/strategie_2025.pdf" TargetMode="External"/><Relationship Id="rId30" Type="http://schemas.openxmlformats.org/officeDocument/2006/relationships/hyperlink" Target="https://isteebu.bi/wp-content/uploads/2023/01/NSDS-Burundi_Document-Principal-2.pdf" TargetMode="External"/><Relationship Id="rId35" Type="http://schemas.openxmlformats.org/officeDocument/2006/relationships/hyperlink" Target="https://www.stat.gov.lt/documents/29256/10511041/VDA_2023_2025_strateginis_veiklos_planas.pdf/4a2a3569-9a9d-43cd-bc9f-84f737a51407" TargetMode="External"/><Relationship Id="rId56" Type="http://schemas.openxmlformats.org/officeDocument/2006/relationships/hyperlink" Target="https://www.cso.ie/en/media/csoie/releasespublications/documents/corporatepublications/CSO_Statement_Of_Strategy_2020-2023.pdf" TargetMode="External"/><Relationship Id="rId77" Type="http://schemas.openxmlformats.org/officeDocument/2006/relationships/hyperlink" Target="https://www.1212.mn/en/transparency/3/39953353" TargetMode="External"/><Relationship Id="rId100" Type="http://schemas.openxmlformats.org/officeDocument/2006/relationships/hyperlink" Target="https://www.scb.se/contentassets/0284f53dc63f487ab5f0bc2b6fd64f25/scbs-strategi-eng.pdf" TargetMode="External"/><Relationship Id="rId105" Type="http://schemas.openxmlformats.org/officeDocument/2006/relationships/hyperlink" Target="https://www.afristat.org/wp-content/uploads/2023/06/SNDS30_Cameroun.pdf" TargetMode="External"/><Relationship Id="rId8" Type="http://schemas.openxmlformats.org/officeDocument/2006/relationships/hyperlink" Target="http://osthailand.nic.go.th/files/policy_sector/File_Download/masterplan2559-2565.pdf" TargetMode="External"/><Relationship Id="rId51" Type="http://schemas.openxmlformats.org/officeDocument/2006/relationships/hyperlink" Target="https://unstats.un.org/unsd/dnss/docViewer.aspx?docID=3874" TargetMode="External"/><Relationship Id="rId72" Type="http://schemas.openxmlformats.org/officeDocument/2006/relationships/hyperlink" Target="https://www.psa.gov.qa/en/knowledge/Doc/Documents/NSDS__2008_EN.pdf" TargetMode="External"/><Relationship Id="rId93" Type="http://schemas.openxmlformats.org/officeDocument/2006/relationships/hyperlink" Target="https://saotomeandprincipe.unfpa.org/sites/default/files/pub-pdf/document_snds_stp_2018-2021_vp_portugues.pdf" TargetMode="External"/><Relationship Id="rId98" Type="http://schemas.openxmlformats.org/officeDocument/2006/relationships/hyperlink" Target="https://eng.rosstat.gov.ru/storage/2020/01-30/5fKftnzF/Strategy%202024.pdf" TargetMode="External"/><Relationship Id="rId3" Type="http://schemas.openxmlformats.org/officeDocument/2006/relationships/hyperlink" Target="https://ukrstat.gov.ua/document/programa_2023.pdf" TargetMode="External"/><Relationship Id="rId25" Type="http://schemas.openxmlformats.org/officeDocument/2006/relationships/hyperlink" Target="https://www.boe.es/boe/dias/2020/12/30/pdfs/BOE-A-2020-17283.pdf" TargetMode="External"/><Relationship Id="rId46" Type="http://schemas.openxmlformats.org/officeDocument/2006/relationships/hyperlink" Target="https://www.tuik.gov.tr/Kurumsal/Stratejik_Plan" TargetMode="External"/><Relationship Id="rId67" Type="http://schemas.openxmlformats.org/officeDocument/2006/relationships/hyperlink" Target="https://stats.gov.lc/wp-content/uploads/2021/11/Draft-Action-Plan-St-Lucia-1ra1.pdf" TargetMode="External"/><Relationship Id="rId20" Type="http://schemas.openxmlformats.org/officeDocument/2006/relationships/hyperlink" Target="https://dzs.gov.hr/UserDocsImages/dokumenti/Dokumenti/DEVELOPMENT%20STRATEGY%20OF%20OFFICIAL%20STATISTICS%20RH%202021-2030_NN%2029-2022_ENG.pdf" TargetMode="External"/><Relationship Id="rId41" Type="http://schemas.openxmlformats.org/officeDocument/2006/relationships/hyperlink" Target="https://www.stat.gov.mk/pdf/StrateskiPlan/StrateskiPlan2023-2025en.pdf" TargetMode="External"/><Relationship Id="rId62" Type="http://schemas.openxmlformats.org/officeDocument/2006/relationships/hyperlink" Target="https://www.knbs.or.ke/wp-content/uploads/2024/03/Kenya-National-Bureau-of-Statistics-Strategic-Plan-2023-2027.pdf" TargetMode="External"/><Relationship Id="rId83" Type="http://schemas.openxmlformats.org/officeDocument/2006/relationships/hyperlink" Target="https://smartdatafinance.org/storage/2021-09-30/hnmhEu4vdzLWD0k.pdf" TargetMode="External"/><Relationship Id="rId88" Type="http://schemas.openxmlformats.org/officeDocument/2006/relationships/hyperlink" Target="https://info.undp.org/docs/pdc/Documents/SOM/Final%20Report-Mohamed%20Barre-Strategic%20Plan%20%20(1).pdf" TargetMode="External"/><Relationship Id="rId111" Type="http://schemas.openxmlformats.org/officeDocument/2006/relationships/hyperlink" Target="https://www.nsb.gov.bt/resources/plans/nsd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B8104-E378-0546-94D8-704DCFB02072}">
  <dimension ref="A1:X204"/>
  <sheetViews>
    <sheetView tabSelected="1" workbookViewId="0">
      <pane xSplit="1" ySplit="2" topLeftCell="B3" activePane="bottomRight" state="frozen"/>
      <selection pane="topRight" activeCell="B1" sqref="B1"/>
      <selection pane="bottomLeft" activeCell="A3" sqref="A3"/>
      <selection pane="bottomRight" activeCell="B1" sqref="B1"/>
    </sheetView>
  </sheetViews>
  <sheetFormatPr defaultColWidth="11.44140625" defaultRowHeight="15" customHeight="1" x14ac:dyDescent="0.3"/>
  <cols>
    <col min="2" max="3" width="13.44140625" customWidth="1"/>
    <col min="4" max="4" width="19" customWidth="1"/>
    <col min="5" max="5" width="13.44140625" customWidth="1"/>
    <col min="6" max="6" width="39.33203125" customWidth="1"/>
    <col min="7" max="10" width="7.6640625" customWidth="1"/>
    <col min="11" max="11" width="13" customWidth="1"/>
    <col min="12" max="12" width="17.44140625" customWidth="1"/>
    <col min="13" max="13" width="13.44140625" customWidth="1"/>
    <col min="14" max="14" width="11" customWidth="1"/>
    <col min="15" max="16" width="11.44140625" customWidth="1"/>
    <col min="17" max="17" width="17.33203125" customWidth="1"/>
    <col min="18" max="19" width="11.44140625" customWidth="1"/>
    <col min="20" max="20" width="15.6640625" customWidth="1"/>
    <col min="21" max="24" width="15.6640625" style="1" customWidth="1"/>
  </cols>
  <sheetData>
    <row r="1" spans="1:24" s="2" customFormat="1" ht="14.4" x14ac:dyDescent="0.3">
      <c r="A1" s="30" t="s">
        <v>0</v>
      </c>
      <c r="B1" s="30" t="s">
        <v>1</v>
      </c>
      <c r="C1" s="30" t="s">
        <v>2</v>
      </c>
      <c r="D1" s="30" t="s">
        <v>3</v>
      </c>
      <c r="E1" s="30" t="s">
        <v>4</v>
      </c>
      <c r="F1" s="30" t="s">
        <v>5</v>
      </c>
      <c r="G1" s="30" t="s">
        <v>6</v>
      </c>
      <c r="H1" s="30" t="s">
        <v>7</v>
      </c>
      <c r="I1" s="30" t="s">
        <v>8</v>
      </c>
      <c r="J1" s="30" t="s">
        <v>9</v>
      </c>
      <c r="K1" s="30" t="s">
        <v>10</v>
      </c>
      <c r="L1" s="30" t="s">
        <v>11</v>
      </c>
      <c r="M1" s="30" t="s">
        <v>12</v>
      </c>
      <c r="N1" s="30" t="s">
        <v>13</v>
      </c>
      <c r="O1" s="30" t="s">
        <v>14</v>
      </c>
      <c r="P1" s="30" t="s">
        <v>15</v>
      </c>
      <c r="Q1" s="30" t="s">
        <v>16</v>
      </c>
      <c r="R1" s="30" t="s">
        <v>17</v>
      </c>
      <c r="S1" s="30" t="s">
        <v>18</v>
      </c>
      <c r="T1" s="30" t="s">
        <v>19</v>
      </c>
      <c r="U1" s="30" t="s">
        <v>20</v>
      </c>
      <c r="V1" s="30" t="s">
        <v>21</v>
      </c>
      <c r="W1" s="30" t="s">
        <v>22</v>
      </c>
      <c r="X1" s="30" t="s">
        <v>23</v>
      </c>
    </row>
    <row r="2" spans="1:24" ht="14.4" x14ac:dyDescent="0.3">
      <c r="A2" s="3" t="s">
        <v>24</v>
      </c>
      <c r="B2" s="3" t="s">
        <v>25</v>
      </c>
      <c r="C2" s="3" t="b">
        <f>COUNTIF('IDA country list'!B$2:B$79,'WORKING VERSION'!B2) = 1</f>
        <v>0</v>
      </c>
      <c r="D2" t="s">
        <v>26</v>
      </c>
      <c r="F2" s="13"/>
      <c r="G2" s="6" t="str">
        <f>RIGHT(E2,4)</f>
        <v/>
      </c>
      <c r="H2" s="42"/>
      <c r="I2" s="6" t="b">
        <f>H2&lt;2025</f>
        <v>1</v>
      </c>
      <c r="J2" s="6"/>
      <c r="K2" s="13"/>
      <c r="L2" s="13"/>
      <c r="M2" s="13"/>
      <c r="N2" s="13"/>
      <c r="O2" s="13"/>
      <c r="P2" s="13"/>
      <c r="Q2" s="13"/>
      <c r="R2" s="13"/>
      <c r="S2" s="13"/>
      <c r="U2"/>
      <c r="V2"/>
      <c r="W2"/>
      <c r="X2"/>
    </row>
    <row r="3" spans="1:24" ht="14.4" x14ac:dyDescent="0.3">
      <c r="A3" t="s">
        <v>27</v>
      </c>
      <c r="B3" s="3" t="s">
        <v>28</v>
      </c>
      <c r="C3" s="3" t="b">
        <f>COUNTIF('IDA country list'!B$2:B$79,'WORKING VERSION'!B3) = 1</f>
        <v>1</v>
      </c>
      <c r="I3" s="6" t="b">
        <f t="shared" ref="I3:I66" si="0">H3&lt;2025</f>
        <v>1</v>
      </c>
      <c r="J3" s="6" t="b">
        <v>1</v>
      </c>
    </row>
    <row r="4" spans="1:24" ht="14.4" x14ac:dyDescent="0.3">
      <c r="A4" s="4" t="s">
        <v>29</v>
      </c>
      <c r="B4" s="3" t="s">
        <v>30</v>
      </c>
      <c r="C4" s="3" t="b">
        <f>COUNTIF('IDA country list'!B$2:B$79,'WORKING VERSION'!B4) = 1</f>
        <v>0</v>
      </c>
      <c r="D4" t="s">
        <v>31</v>
      </c>
      <c r="E4" t="s">
        <v>32</v>
      </c>
      <c r="F4" s="25" t="s">
        <v>33</v>
      </c>
      <c r="G4" s="6" t="str">
        <f t="shared" ref="G4:G41" si="1">RIGHT(E4,4)</f>
        <v>2025</v>
      </c>
      <c r="H4" s="43">
        <v>2025</v>
      </c>
      <c r="I4" s="6" t="b">
        <f t="shared" si="0"/>
        <v>0</v>
      </c>
      <c r="J4" s="6"/>
      <c r="K4" s="25" t="s">
        <v>34</v>
      </c>
      <c r="U4"/>
      <c r="V4"/>
      <c r="W4"/>
      <c r="X4"/>
    </row>
    <row r="5" spans="1:24" ht="14.4" x14ac:dyDescent="0.3">
      <c r="A5" s="3" t="s">
        <v>35</v>
      </c>
      <c r="B5" s="3" t="s">
        <v>36</v>
      </c>
      <c r="C5" s="3" t="b">
        <f>COUNTIF('IDA country list'!B$2:B$79,'WORKING VERSION'!B5) = 1</f>
        <v>0</v>
      </c>
      <c r="D5" t="s">
        <v>37</v>
      </c>
      <c r="F5" s="6"/>
      <c r="G5" s="6" t="str">
        <f t="shared" si="1"/>
        <v/>
      </c>
      <c r="H5" s="42"/>
      <c r="I5" s="6" t="b">
        <f t="shared" si="0"/>
        <v>1</v>
      </c>
      <c r="J5" s="6"/>
      <c r="U5"/>
      <c r="V5"/>
      <c r="W5"/>
      <c r="X5"/>
    </row>
    <row r="6" spans="1:24" ht="14.4" x14ac:dyDescent="0.3">
      <c r="A6" s="3" t="s">
        <v>38</v>
      </c>
      <c r="B6" s="3" t="s">
        <v>39</v>
      </c>
      <c r="C6" s="3" t="b">
        <f>COUNTIF('IDA country list'!B$2:B$79,'WORKING VERSION'!B6) = 1</f>
        <v>0</v>
      </c>
      <c r="D6" t="s">
        <v>40</v>
      </c>
      <c r="E6" t="s">
        <v>41</v>
      </c>
      <c r="F6" s="6" t="s">
        <v>42</v>
      </c>
      <c r="G6" s="6" t="str">
        <f t="shared" si="1"/>
        <v>2030</v>
      </c>
      <c r="H6" s="43">
        <v>2030</v>
      </c>
      <c r="I6" s="6" t="b">
        <f t="shared" si="0"/>
        <v>0</v>
      </c>
      <c r="J6" s="6"/>
      <c r="K6" t="s">
        <v>43</v>
      </c>
      <c r="L6" t="s">
        <v>44</v>
      </c>
      <c r="M6" t="s">
        <v>34</v>
      </c>
      <c r="U6"/>
      <c r="V6"/>
      <c r="W6"/>
      <c r="X6"/>
    </row>
    <row r="7" spans="1:24" ht="14.4" x14ac:dyDescent="0.3">
      <c r="A7" s="3" t="s">
        <v>45</v>
      </c>
      <c r="B7" s="3" t="s">
        <v>46</v>
      </c>
      <c r="C7" s="3" t="b">
        <f>COUNTIF('IDA country list'!B$2:B$79,'WORKING VERSION'!B7) = 1</f>
        <v>0</v>
      </c>
      <c r="D7" s="5" t="s">
        <v>47</v>
      </c>
      <c r="E7" t="s">
        <v>48</v>
      </c>
      <c r="F7" s="28" t="s">
        <v>49</v>
      </c>
      <c r="G7" s="6" t="str">
        <f t="shared" si="1"/>
        <v>2025</v>
      </c>
      <c r="H7" s="43">
        <v>2025</v>
      </c>
      <c r="I7" s="6" t="b">
        <f t="shared" si="0"/>
        <v>0</v>
      </c>
      <c r="J7" s="6"/>
      <c r="U7"/>
      <c r="V7"/>
      <c r="W7"/>
      <c r="X7"/>
    </row>
    <row r="8" spans="1:24" ht="14.4" x14ac:dyDescent="0.3">
      <c r="A8" s="19" t="s">
        <v>50</v>
      </c>
      <c r="B8" s="3" t="s">
        <v>51</v>
      </c>
      <c r="C8" s="3" t="b">
        <f>COUNTIF('IDA country list'!B$2:B$79,'WORKING VERSION'!B8) = 1</f>
        <v>0</v>
      </c>
      <c r="D8" s="19" t="s">
        <v>26</v>
      </c>
      <c r="G8" s="6" t="str">
        <f t="shared" si="1"/>
        <v/>
      </c>
      <c r="H8" s="42"/>
      <c r="I8" s="6" t="b">
        <f t="shared" si="0"/>
        <v>1</v>
      </c>
      <c r="J8" s="6"/>
      <c r="U8"/>
      <c r="V8"/>
      <c r="W8"/>
      <c r="X8"/>
    </row>
    <row r="9" spans="1:24" ht="13.5" customHeight="1" x14ac:dyDescent="0.3">
      <c r="A9" s="3" t="s">
        <v>52</v>
      </c>
      <c r="B9" s="3" t="s">
        <v>53</v>
      </c>
      <c r="C9" s="3" t="b">
        <f>COUNTIF('IDA country list'!B$2:B$79,'WORKING VERSION'!B9) = 1</f>
        <v>0</v>
      </c>
      <c r="D9" t="s">
        <v>54</v>
      </c>
      <c r="E9" t="s">
        <v>55</v>
      </c>
      <c r="F9" s="6" t="s">
        <v>56</v>
      </c>
      <c r="G9" s="6" t="str">
        <f t="shared" si="1"/>
        <v>2026</v>
      </c>
      <c r="H9" s="43">
        <v>2026</v>
      </c>
      <c r="I9" s="6" t="b">
        <f t="shared" si="0"/>
        <v>0</v>
      </c>
      <c r="J9" s="6"/>
      <c r="K9" t="s">
        <v>43</v>
      </c>
      <c r="L9" t="s">
        <v>57</v>
      </c>
      <c r="M9" t="s">
        <v>34</v>
      </c>
      <c r="U9"/>
      <c r="V9"/>
      <c r="W9"/>
      <c r="X9"/>
    </row>
    <row r="10" spans="1:24" ht="14.4" x14ac:dyDescent="0.3">
      <c r="A10" s="3" t="s">
        <v>58</v>
      </c>
      <c r="B10" s="3" t="s">
        <v>59</v>
      </c>
      <c r="C10" s="3" t="b">
        <f>COUNTIF('IDA country list'!B$2:B$79,'WORKING VERSION'!B10) = 1</f>
        <v>0</v>
      </c>
      <c r="D10" t="s">
        <v>60</v>
      </c>
      <c r="E10" t="s">
        <v>61</v>
      </c>
      <c r="F10" s="6" t="s">
        <v>62</v>
      </c>
      <c r="G10" s="6" t="str">
        <f t="shared" si="1"/>
        <v>2028</v>
      </c>
      <c r="H10" s="43">
        <v>2028</v>
      </c>
      <c r="I10" s="6" t="b">
        <f t="shared" si="0"/>
        <v>0</v>
      </c>
      <c r="J10" s="6"/>
      <c r="K10" t="s">
        <v>43</v>
      </c>
      <c r="M10" t="s">
        <v>34</v>
      </c>
      <c r="U10"/>
      <c r="V10"/>
      <c r="W10"/>
      <c r="X10"/>
    </row>
    <row r="11" spans="1:24" ht="14.4" x14ac:dyDescent="0.3">
      <c r="A11" s="3" t="s">
        <v>63</v>
      </c>
      <c r="B11" s="3" t="s">
        <v>64</v>
      </c>
      <c r="C11" s="3" t="b">
        <f>COUNTIF('IDA country list'!B$2:B$79,'WORKING VERSION'!B11) = 1</f>
        <v>0</v>
      </c>
      <c r="D11" t="s">
        <v>65</v>
      </c>
      <c r="F11" s="25"/>
      <c r="G11" s="6" t="str">
        <f t="shared" si="1"/>
        <v/>
      </c>
      <c r="H11" s="42"/>
      <c r="I11" s="6" t="b">
        <f t="shared" si="0"/>
        <v>1</v>
      </c>
      <c r="J11" s="6"/>
      <c r="K11" s="25"/>
      <c r="U11"/>
      <c r="V11"/>
      <c r="W11"/>
      <c r="X11"/>
    </row>
    <row r="12" spans="1:24" ht="14.4" x14ac:dyDescent="0.3">
      <c r="A12" s="3" t="s">
        <v>66</v>
      </c>
      <c r="B12" s="3" t="s">
        <v>67</v>
      </c>
      <c r="C12" s="3" t="b">
        <f>COUNTIF('IDA country list'!B$2:B$79,'WORKING VERSION'!B12) = 1</f>
        <v>0</v>
      </c>
      <c r="D12" t="s">
        <v>68</v>
      </c>
      <c r="E12" t="s">
        <v>69</v>
      </c>
      <c r="F12" s="6" t="s">
        <v>70</v>
      </c>
      <c r="G12" s="6" t="str">
        <f t="shared" si="1"/>
        <v>2025</v>
      </c>
      <c r="H12" s="43">
        <v>2025</v>
      </c>
      <c r="I12" s="6" t="b">
        <f t="shared" si="0"/>
        <v>0</v>
      </c>
      <c r="J12" s="6"/>
      <c r="K12" t="s">
        <v>43</v>
      </c>
      <c r="L12" t="s">
        <v>44</v>
      </c>
      <c r="M12" t="s">
        <v>34</v>
      </c>
      <c r="U12"/>
      <c r="V12"/>
      <c r="W12"/>
      <c r="X12"/>
    </row>
    <row r="13" spans="1:24" ht="14.4" x14ac:dyDescent="0.3">
      <c r="A13" s="3" t="s">
        <v>71</v>
      </c>
      <c r="B13" s="3" t="s">
        <v>72</v>
      </c>
      <c r="C13" s="3" t="b">
        <f>COUNTIF('IDA country list'!B$2:B$79,'WORKING VERSION'!B13) = 1</f>
        <v>0</v>
      </c>
      <c r="D13" t="s">
        <v>73</v>
      </c>
      <c r="F13" s="23" t="s">
        <v>74</v>
      </c>
      <c r="G13" s="6" t="str">
        <f t="shared" si="1"/>
        <v/>
      </c>
      <c r="H13" s="42"/>
      <c r="I13" s="6" t="b">
        <f t="shared" si="0"/>
        <v>1</v>
      </c>
      <c r="J13" s="6"/>
      <c r="K13" t="s">
        <v>43</v>
      </c>
      <c r="L13" t="s">
        <v>75</v>
      </c>
      <c r="M13" t="s">
        <v>34</v>
      </c>
      <c r="U13"/>
      <c r="V13"/>
      <c r="W13"/>
      <c r="X13"/>
    </row>
    <row r="14" spans="1:24" ht="14.4" x14ac:dyDescent="0.3">
      <c r="A14" s="3" t="s">
        <v>76</v>
      </c>
      <c r="B14" s="3" t="s">
        <v>77</v>
      </c>
      <c r="C14" s="3" t="b">
        <f>COUNTIF('IDA country list'!B$2:B$79,'WORKING VERSION'!B14) = 1</f>
        <v>0</v>
      </c>
      <c r="D14" t="s">
        <v>78</v>
      </c>
      <c r="E14" t="s">
        <v>79</v>
      </c>
      <c r="F14" s="6" t="s">
        <v>80</v>
      </c>
      <c r="G14" s="6" t="str">
        <f t="shared" si="1"/>
        <v>2025</v>
      </c>
      <c r="H14" s="43">
        <v>2025</v>
      </c>
      <c r="I14" s="6" t="b">
        <f t="shared" si="0"/>
        <v>0</v>
      </c>
      <c r="J14" s="6"/>
      <c r="K14" t="s">
        <v>43</v>
      </c>
      <c r="L14" t="s">
        <v>44</v>
      </c>
      <c r="M14" t="s">
        <v>34</v>
      </c>
      <c r="U14"/>
      <c r="V14"/>
      <c r="W14"/>
      <c r="X14"/>
    </row>
    <row r="15" spans="1:24" ht="14.4" x14ac:dyDescent="0.3">
      <c r="A15" s="3" t="s">
        <v>81</v>
      </c>
      <c r="B15" s="3" t="s">
        <v>82</v>
      </c>
      <c r="C15" s="3" t="b">
        <f>COUNTIF('IDA country list'!B$2:B$79,'WORKING VERSION'!B15) = 1</f>
        <v>1</v>
      </c>
      <c r="D15" t="s">
        <v>83</v>
      </c>
      <c r="E15" t="s">
        <v>84</v>
      </c>
      <c r="F15" s="8" t="s">
        <v>85</v>
      </c>
      <c r="G15" s="6" t="str">
        <f t="shared" si="1"/>
        <v>2020</v>
      </c>
      <c r="H15" s="43">
        <v>2020</v>
      </c>
      <c r="I15" s="6" t="b">
        <f t="shared" si="0"/>
        <v>1</v>
      </c>
      <c r="J15" s="6"/>
      <c r="K15" t="s">
        <v>43</v>
      </c>
      <c r="L15" t="s">
        <v>86</v>
      </c>
      <c r="M15" t="s">
        <v>43</v>
      </c>
      <c r="N15" t="s">
        <v>43</v>
      </c>
      <c r="O15" t="s">
        <v>87</v>
      </c>
      <c r="P15" t="s">
        <v>88</v>
      </c>
      <c r="Q15">
        <v>0</v>
      </c>
      <c r="R15" t="s">
        <v>89</v>
      </c>
      <c r="S15" t="s">
        <v>90</v>
      </c>
      <c r="U15"/>
      <c r="V15"/>
      <c r="W15"/>
      <c r="X15"/>
    </row>
    <row r="16" spans="1:24" ht="14.4" x14ac:dyDescent="0.3">
      <c r="A16" s="3" t="s">
        <v>91</v>
      </c>
      <c r="B16" s="3" t="s">
        <v>92</v>
      </c>
      <c r="C16" s="3" t="b">
        <f>COUNTIF('IDA country list'!B$2:B$79,'WORKING VERSION'!B16) = 1</f>
        <v>0</v>
      </c>
      <c r="D16" t="s">
        <v>93</v>
      </c>
      <c r="E16">
        <v>2024</v>
      </c>
      <c r="F16" s="8" t="s">
        <v>94</v>
      </c>
      <c r="G16" s="6" t="str">
        <f t="shared" si="1"/>
        <v>2024</v>
      </c>
      <c r="H16" s="43">
        <v>2024</v>
      </c>
      <c r="I16" s="6" t="b">
        <f t="shared" si="0"/>
        <v>1</v>
      </c>
      <c r="J16" s="6"/>
      <c r="K16" t="s">
        <v>43</v>
      </c>
      <c r="L16" t="s">
        <v>95</v>
      </c>
      <c r="M16" t="s">
        <v>34</v>
      </c>
      <c r="U16"/>
      <c r="V16"/>
      <c r="W16"/>
      <c r="X16"/>
    </row>
    <row r="17" spans="1:24" ht="14.4" x14ac:dyDescent="0.3">
      <c r="A17" s="3" t="s">
        <v>96</v>
      </c>
      <c r="B17" s="3" t="s">
        <v>97</v>
      </c>
      <c r="C17" s="3" t="b">
        <f>COUNTIF('IDA country list'!B$2:B$79,'WORKING VERSION'!B17) = 1</f>
        <v>1</v>
      </c>
      <c r="D17" t="s">
        <v>98</v>
      </c>
      <c r="E17" t="s">
        <v>99</v>
      </c>
      <c r="F17" s="6" t="s">
        <v>100</v>
      </c>
      <c r="G17" s="6" t="str">
        <f t="shared" si="1"/>
        <v>2023</v>
      </c>
      <c r="H17" s="43">
        <v>2023</v>
      </c>
      <c r="I17" s="6" t="b">
        <f t="shared" si="0"/>
        <v>1</v>
      </c>
      <c r="J17" s="6" t="b">
        <v>1</v>
      </c>
      <c r="K17" t="s">
        <v>43</v>
      </c>
      <c r="L17" t="s">
        <v>86</v>
      </c>
      <c r="M17" t="s">
        <v>43</v>
      </c>
      <c r="N17" t="s">
        <v>43</v>
      </c>
      <c r="O17" t="s">
        <v>101</v>
      </c>
      <c r="P17" t="s">
        <v>102</v>
      </c>
      <c r="Q17">
        <v>14200000</v>
      </c>
      <c r="R17" t="s">
        <v>103</v>
      </c>
      <c r="S17" t="s">
        <v>104</v>
      </c>
      <c r="T17" t="s">
        <v>43</v>
      </c>
      <c r="U17"/>
      <c r="V17"/>
      <c r="W17"/>
      <c r="X17"/>
    </row>
    <row r="18" spans="1:24" ht="14.4" x14ac:dyDescent="0.3">
      <c r="A18" s="3" t="s">
        <v>105</v>
      </c>
      <c r="B18" s="3" t="s">
        <v>106</v>
      </c>
      <c r="C18" s="3" t="b">
        <f>COUNTIF('IDA country list'!B$2:B$79,'WORKING VERSION'!B18) = 1</f>
        <v>1</v>
      </c>
      <c r="D18" t="s">
        <v>107</v>
      </c>
      <c r="E18" t="s">
        <v>108</v>
      </c>
      <c r="F18" s="6" t="s">
        <v>109</v>
      </c>
      <c r="G18" s="6" t="str">
        <f t="shared" si="1"/>
        <v>2025</v>
      </c>
      <c r="H18" s="43">
        <v>2025</v>
      </c>
      <c r="I18" s="6" t="b">
        <f t="shared" si="0"/>
        <v>0</v>
      </c>
      <c r="J18" s="6"/>
      <c r="K18" t="s">
        <v>43</v>
      </c>
      <c r="L18" t="s">
        <v>86</v>
      </c>
      <c r="M18" t="s">
        <v>43</v>
      </c>
      <c r="N18" t="s">
        <v>43</v>
      </c>
      <c r="O18" t="s">
        <v>110</v>
      </c>
      <c r="P18" t="s">
        <v>111</v>
      </c>
      <c r="Q18" s="29">
        <v>683400000</v>
      </c>
      <c r="R18" t="s">
        <v>103</v>
      </c>
      <c r="S18" t="s">
        <v>112</v>
      </c>
      <c r="T18" t="s">
        <v>113</v>
      </c>
      <c r="U18"/>
      <c r="V18"/>
      <c r="W18"/>
      <c r="X18"/>
    </row>
    <row r="19" spans="1:24" ht="14.4" x14ac:dyDescent="0.3">
      <c r="A19" s="3" t="s">
        <v>114</v>
      </c>
      <c r="B19" s="3" t="s">
        <v>115</v>
      </c>
      <c r="C19" s="3" t="b">
        <f>COUNTIF('IDA country list'!B$2:B$79,'WORKING VERSION'!B19) = 1</f>
        <v>1</v>
      </c>
      <c r="D19" t="s">
        <v>116</v>
      </c>
      <c r="E19" t="s">
        <v>117</v>
      </c>
      <c r="F19" s="6" t="s">
        <v>118</v>
      </c>
      <c r="G19" s="6" t="str">
        <f t="shared" si="1"/>
        <v>2023</v>
      </c>
      <c r="H19" s="43">
        <v>2023</v>
      </c>
      <c r="I19" s="6" t="b">
        <f t="shared" si="0"/>
        <v>1</v>
      </c>
      <c r="J19" s="6" t="b">
        <v>1</v>
      </c>
      <c r="K19" t="s">
        <v>43</v>
      </c>
      <c r="L19" t="s">
        <v>44</v>
      </c>
      <c r="M19" s="7" t="s">
        <v>43</v>
      </c>
      <c r="N19" s="7" t="s">
        <v>43</v>
      </c>
      <c r="O19" s="7" t="s">
        <v>119</v>
      </c>
      <c r="P19" s="7" t="s">
        <v>120</v>
      </c>
      <c r="Q19" s="7">
        <v>384000000</v>
      </c>
      <c r="R19" s="7" t="s">
        <v>121</v>
      </c>
      <c r="S19" s="36" t="s">
        <v>122</v>
      </c>
      <c r="U19"/>
      <c r="V19"/>
      <c r="W19"/>
      <c r="X19"/>
    </row>
    <row r="20" spans="1:24" ht="14.4" x14ac:dyDescent="0.3">
      <c r="A20" s="3" t="s">
        <v>123</v>
      </c>
      <c r="B20" s="3" t="s">
        <v>124</v>
      </c>
      <c r="C20" s="3" t="b">
        <f>COUNTIF('IDA country list'!B$2:B$79,'WORKING VERSION'!B20) = 1</f>
        <v>0</v>
      </c>
      <c r="D20" t="s">
        <v>125</v>
      </c>
      <c r="E20" t="s">
        <v>126</v>
      </c>
      <c r="F20" s="8" t="s">
        <v>127</v>
      </c>
      <c r="G20" s="6" t="str">
        <f t="shared" si="1"/>
        <v>2027</v>
      </c>
      <c r="H20" s="43">
        <v>2027</v>
      </c>
      <c r="I20" s="6" t="b">
        <f t="shared" si="0"/>
        <v>0</v>
      </c>
      <c r="J20" s="6"/>
      <c r="K20" t="s">
        <v>43</v>
      </c>
      <c r="L20" t="s">
        <v>44</v>
      </c>
      <c r="M20" t="s">
        <v>34</v>
      </c>
      <c r="U20"/>
      <c r="V20"/>
      <c r="W20"/>
      <c r="X20"/>
    </row>
    <row r="21" spans="1:24" ht="14.4" x14ac:dyDescent="0.3">
      <c r="A21" s="3" t="s">
        <v>128</v>
      </c>
      <c r="B21" s="3" t="s">
        <v>129</v>
      </c>
      <c r="C21" s="3" t="b">
        <f>COUNTIF('IDA country list'!B$2:B$79,'WORKING VERSION'!B21) = 1</f>
        <v>0</v>
      </c>
      <c r="D21" t="s">
        <v>130</v>
      </c>
      <c r="E21" t="s">
        <v>131</v>
      </c>
      <c r="F21" s="6" t="s">
        <v>132</v>
      </c>
      <c r="G21" s="6" t="str">
        <f t="shared" si="1"/>
        <v>2023</v>
      </c>
      <c r="H21" s="43">
        <v>2023</v>
      </c>
      <c r="I21" s="6" t="b">
        <f t="shared" si="0"/>
        <v>1</v>
      </c>
      <c r="J21" s="6"/>
      <c r="K21" t="s">
        <v>43</v>
      </c>
      <c r="L21" t="s">
        <v>44</v>
      </c>
      <c r="M21" t="s">
        <v>34</v>
      </c>
      <c r="U21"/>
      <c r="V21"/>
      <c r="W21"/>
      <c r="X21"/>
    </row>
    <row r="22" spans="1:24" ht="14.4" x14ac:dyDescent="0.3">
      <c r="A22" s="19" t="s">
        <v>133</v>
      </c>
      <c r="B22" s="3" t="s">
        <v>134</v>
      </c>
      <c r="C22" s="3" t="b">
        <f>COUNTIF('IDA country list'!B$2:B$79,'WORKING VERSION'!B22) = 1</f>
        <v>0</v>
      </c>
      <c r="D22" s="19" t="s">
        <v>26</v>
      </c>
      <c r="G22" s="6" t="str">
        <f t="shared" si="1"/>
        <v/>
      </c>
      <c r="H22" s="42"/>
      <c r="I22" s="6" t="b">
        <f t="shared" si="0"/>
        <v>1</v>
      </c>
      <c r="J22" s="6"/>
      <c r="U22"/>
      <c r="V22"/>
      <c r="W22"/>
      <c r="X22"/>
    </row>
    <row r="23" spans="1:24" ht="14.4" x14ac:dyDescent="0.3">
      <c r="A23" s="3" t="s">
        <v>135</v>
      </c>
      <c r="B23" s="3" t="s">
        <v>136</v>
      </c>
      <c r="C23" s="3" t="b">
        <f>COUNTIF('IDA country list'!B$2:B$79,'WORKING VERSION'!B23) = 1</f>
        <v>0</v>
      </c>
      <c r="D23" t="s">
        <v>137</v>
      </c>
      <c r="E23" t="s">
        <v>138</v>
      </c>
      <c r="F23" s="8" t="s">
        <v>139</v>
      </c>
      <c r="G23" s="6" t="str">
        <f t="shared" si="1"/>
        <v>2024</v>
      </c>
      <c r="H23" s="43">
        <v>2024</v>
      </c>
      <c r="I23" s="6" t="b">
        <f t="shared" si="0"/>
        <v>1</v>
      </c>
      <c r="J23" s="6"/>
      <c r="K23" t="s">
        <v>43</v>
      </c>
      <c r="L23" t="s">
        <v>140</v>
      </c>
      <c r="M23" t="s">
        <v>34</v>
      </c>
      <c r="U23"/>
      <c r="V23"/>
      <c r="W23"/>
      <c r="X23"/>
    </row>
    <row r="24" spans="1:24" ht="14.4" x14ac:dyDescent="0.3">
      <c r="A24" s="3" t="s">
        <v>141</v>
      </c>
      <c r="B24" s="3" t="s">
        <v>142</v>
      </c>
      <c r="C24" s="3" t="b">
        <f>COUNTIF('IDA country list'!B$2:B$79,'WORKING VERSION'!B24) = 1</f>
        <v>0</v>
      </c>
      <c r="D24" t="s">
        <v>143</v>
      </c>
      <c r="E24" t="s">
        <v>144</v>
      </c>
      <c r="F24" s="6" t="s">
        <v>145</v>
      </c>
      <c r="G24" s="6" t="str">
        <f t="shared" si="1"/>
        <v>2022</v>
      </c>
      <c r="H24" s="43">
        <v>2022</v>
      </c>
      <c r="I24" s="6" t="b">
        <f t="shared" si="0"/>
        <v>1</v>
      </c>
      <c r="J24" s="6"/>
      <c r="K24" t="s">
        <v>43</v>
      </c>
      <c r="L24" t="s">
        <v>44</v>
      </c>
      <c r="M24" t="s">
        <v>34</v>
      </c>
      <c r="T24" s="47"/>
      <c r="U24" s="47"/>
      <c r="V24" s="47"/>
      <c r="W24" s="47"/>
      <c r="X24" s="47"/>
    </row>
    <row r="25" spans="1:24" ht="14.4" x14ac:dyDescent="0.3">
      <c r="A25" s="57" t="s">
        <v>146</v>
      </c>
      <c r="B25" s="3" t="s">
        <v>147</v>
      </c>
      <c r="C25" s="3" t="b">
        <f>COUNTIF('IDA country list'!B$2:B$79,'WORKING VERSION'!B25) = 1</f>
        <v>1</v>
      </c>
      <c r="D25" t="s">
        <v>148</v>
      </c>
      <c r="E25" t="s">
        <v>149</v>
      </c>
      <c r="F25" s="6" t="s">
        <v>150</v>
      </c>
      <c r="G25" s="6" t="str">
        <f t="shared" si="1"/>
        <v>2029</v>
      </c>
      <c r="H25" s="42">
        <v>2029</v>
      </c>
      <c r="I25" s="6" t="b">
        <f t="shared" si="0"/>
        <v>0</v>
      </c>
      <c r="J25" s="58" t="b">
        <v>1</v>
      </c>
      <c r="K25" t="s">
        <v>43</v>
      </c>
      <c r="L25" t="s">
        <v>44</v>
      </c>
      <c r="M25" t="s">
        <v>43</v>
      </c>
      <c r="N25" t="s">
        <v>34</v>
      </c>
      <c r="U25"/>
      <c r="V25"/>
      <c r="W25"/>
      <c r="X25"/>
    </row>
    <row r="26" spans="1:24" ht="14.4" x14ac:dyDescent="0.3">
      <c r="A26" s="3" t="s">
        <v>151</v>
      </c>
      <c r="B26" s="3" t="s">
        <v>152</v>
      </c>
      <c r="C26" s="3" t="b">
        <f>COUNTIF('IDA country list'!B$2:B$79,'WORKING VERSION'!B26) = 1</f>
        <v>0</v>
      </c>
      <c r="D26" t="s">
        <v>153</v>
      </c>
      <c r="E26" s="26" t="s">
        <v>108</v>
      </c>
      <c r="F26" s="8" t="s">
        <v>154</v>
      </c>
      <c r="G26" s="6" t="str">
        <f t="shared" si="1"/>
        <v>2025</v>
      </c>
      <c r="H26" s="43">
        <v>2025</v>
      </c>
      <c r="I26" s="6" t="b">
        <f t="shared" si="0"/>
        <v>0</v>
      </c>
      <c r="J26" s="6"/>
      <c r="K26" t="s">
        <v>43</v>
      </c>
      <c r="L26" t="s">
        <v>57</v>
      </c>
      <c r="M26" t="s">
        <v>43</v>
      </c>
      <c r="N26" t="s">
        <v>43</v>
      </c>
      <c r="O26" t="s">
        <v>155</v>
      </c>
      <c r="P26" t="s">
        <v>156</v>
      </c>
      <c r="Q26" s="29">
        <v>10002257</v>
      </c>
      <c r="R26" t="s">
        <v>157</v>
      </c>
      <c r="S26" s="27" t="s">
        <v>158</v>
      </c>
      <c r="T26" t="s">
        <v>34</v>
      </c>
      <c r="U26"/>
      <c r="V26"/>
      <c r="W26"/>
      <c r="X26"/>
    </row>
    <row r="27" spans="1:24" ht="14.4" x14ac:dyDescent="0.3">
      <c r="A27" s="3" t="s">
        <v>159</v>
      </c>
      <c r="B27" s="3" t="s">
        <v>160</v>
      </c>
      <c r="C27" s="3" t="b">
        <f>COUNTIF('IDA country list'!B$2:B$79,'WORKING VERSION'!B27) = 1</f>
        <v>0</v>
      </c>
      <c r="D27" t="s">
        <v>161</v>
      </c>
      <c r="E27" t="s">
        <v>162</v>
      </c>
      <c r="F27" s="8" t="s">
        <v>163</v>
      </c>
      <c r="G27" s="6" t="str">
        <f t="shared" si="1"/>
        <v>2027</v>
      </c>
      <c r="H27" s="43">
        <v>2027</v>
      </c>
      <c r="I27" s="6" t="b">
        <f t="shared" si="0"/>
        <v>0</v>
      </c>
      <c r="J27" s="6"/>
      <c r="K27" t="s">
        <v>43</v>
      </c>
      <c r="L27" t="s">
        <v>164</v>
      </c>
      <c r="M27" t="s">
        <v>34</v>
      </c>
      <c r="U27"/>
      <c r="V27"/>
      <c r="W27"/>
      <c r="X27"/>
    </row>
    <row r="28" spans="1:24" ht="14.4" x14ac:dyDescent="0.3">
      <c r="A28" s="3" t="s">
        <v>165</v>
      </c>
      <c r="B28" s="3" t="s">
        <v>166</v>
      </c>
      <c r="C28" s="3" t="b">
        <f>COUNTIF('IDA country list'!B$2:B$79,'WORKING VERSION'!B28) = 1</f>
        <v>0</v>
      </c>
      <c r="D28" t="s">
        <v>65</v>
      </c>
      <c r="F28" s="25"/>
      <c r="G28" s="6" t="str">
        <f t="shared" si="1"/>
        <v/>
      </c>
      <c r="H28" s="42"/>
      <c r="I28" s="6" t="b">
        <f t="shared" si="0"/>
        <v>1</v>
      </c>
      <c r="J28" s="6"/>
      <c r="K28" s="25"/>
      <c r="U28"/>
      <c r="V28"/>
      <c r="W28"/>
      <c r="X28"/>
    </row>
    <row r="29" spans="1:24" ht="14.4" x14ac:dyDescent="0.3">
      <c r="A29" s="3" t="s">
        <v>167</v>
      </c>
      <c r="B29" s="3" t="s">
        <v>168</v>
      </c>
      <c r="C29" s="3" t="b">
        <f>COUNTIF('IDA country list'!B$2:B$79,'WORKING VERSION'!B29) = 1</f>
        <v>0</v>
      </c>
      <c r="D29" t="s">
        <v>65</v>
      </c>
      <c r="F29" s="25"/>
      <c r="G29" s="6" t="str">
        <f t="shared" si="1"/>
        <v/>
      </c>
      <c r="H29" s="42"/>
      <c r="I29" s="6" t="b">
        <f t="shared" si="0"/>
        <v>1</v>
      </c>
      <c r="J29" s="6"/>
      <c r="K29" s="25"/>
      <c r="U29"/>
      <c r="V29"/>
      <c r="W29"/>
      <c r="X29"/>
    </row>
    <row r="30" spans="1:24" ht="14.4" x14ac:dyDescent="0.3">
      <c r="A30" s="57" t="s">
        <v>169</v>
      </c>
      <c r="B30" s="3" t="s">
        <v>170</v>
      </c>
      <c r="C30" s="3" t="b">
        <f>COUNTIF('IDA country list'!B$2:B$79,'WORKING VERSION'!B30) = 1</f>
        <v>1</v>
      </c>
      <c r="D30" t="s">
        <v>171</v>
      </c>
      <c r="E30" t="s">
        <v>172</v>
      </c>
      <c r="F30" s="6" t="s">
        <v>173</v>
      </c>
      <c r="G30" s="6" t="str">
        <f t="shared" si="1"/>
        <v>2029</v>
      </c>
      <c r="H30" s="43">
        <v>2029</v>
      </c>
      <c r="I30" s="6" t="b">
        <f t="shared" si="0"/>
        <v>0</v>
      </c>
      <c r="J30" s="58" t="b">
        <v>1</v>
      </c>
      <c r="K30" t="s">
        <v>43</v>
      </c>
      <c r="L30" t="s">
        <v>44</v>
      </c>
      <c r="M30" t="s">
        <v>43</v>
      </c>
      <c r="N30" t="s">
        <v>34</v>
      </c>
      <c r="S30" s="27"/>
      <c r="U30"/>
      <c r="V30"/>
      <c r="W30"/>
      <c r="X30"/>
    </row>
    <row r="31" spans="1:24" ht="14.4" x14ac:dyDescent="0.3">
      <c r="A31" s="3" t="s">
        <v>174</v>
      </c>
      <c r="B31" s="3" t="s">
        <v>175</v>
      </c>
      <c r="C31" s="3" t="b">
        <f>COUNTIF('IDA country list'!B$2:B$79,'WORKING VERSION'!B31) = 1</f>
        <v>0</v>
      </c>
      <c r="D31" t="s">
        <v>176</v>
      </c>
      <c r="E31" t="s">
        <v>177</v>
      </c>
      <c r="F31" s="8" t="s">
        <v>178</v>
      </c>
      <c r="G31" s="6" t="str">
        <f t="shared" si="1"/>
        <v>2020</v>
      </c>
      <c r="H31" s="43">
        <v>2020</v>
      </c>
      <c r="I31" s="6" t="b">
        <f t="shared" si="0"/>
        <v>1</v>
      </c>
      <c r="J31" s="6"/>
      <c r="K31" t="s">
        <v>43</v>
      </c>
      <c r="L31" t="s">
        <v>44</v>
      </c>
      <c r="M31" t="s">
        <v>43</v>
      </c>
      <c r="N31" t="s">
        <v>34</v>
      </c>
      <c r="T31" s="19"/>
      <c r="U31" s="19"/>
      <c r="V31" s="19"/>
      <c r="W31" s="19"/>
      <c r="X31" s="19"/>
    </row>
    <row r="32" spans="1:24" ht="14.4" x14ac:dyDescent="0.3">
      <c r="A32" s="3" t="s">
        <v>179</v>
      </c>
      <c r="B32" s="3" t="s">
        <v>180</v>
      </c>
      <c r="C32" s="3" t="b">
        <f>COUNTIF('IDA country list'!B$2:B$79,'WORKING VERSION'!B32) = 1</f>
        <v>1</v>
      </c>
      <c r="D32" t="s">
        <v>181</v>
      </c>
      <c r="E32" t="s">
        <v>108</v>
      </c>
      <c r="F32" s="28" t="s">
        <v>182</v>
      </c>
      <c r="G32" s="6" t="str">
        <f t="shared" si="1"/>
        <v>2025</v>
      </c>
      <c r="H32" s="43">
        <v>2025</v>
      </c>
      <c r="I32" s="6" t="b">
        <f t="shared" si="0"/>
        <v>0</v>
      </c>
      <c r="J32" s="6"/>
      <c r="K32" s="25" t="s">
        <v>43</v>
      </c>
      <c r="L32" t="s">
        <v>86</v>
      </c>
      <c r="M32" t="s">
        <v>43</v>
      </c>
      <c r="N32" t="s">
        <v>43</v>
      </c>
      <c r="O32" t="s">
        <v>110</v>
      </c>
      <c r="P32" t="s">
        <v>183</v>
      </c>
      <c r="Q32" s="29">
        <v>337000000</v>
      </c>
      <c r="R32" t="s">
        <v>103</v>
      </c>
      <c r="S32" t="s">
        <v>184</v>
      </c>
      <c r="T32" t="s">
        <v>43</v>
      </c>
      <c r="U32"/>
      <c r="V32"/>
      <c r="W32"/>
      <c r="X32"/>
    </row>
    <row r="33" spans="1:24" ht="14.4" x14ac:dyDescent="0.3">
      <c r="A33" s="3" t="s">
        <v>185</v>
      </c>
      <c r="B33" s="3" t="s">
        <v>186</v>
      </c>
      <c r="C33" s="3" t="b">
        <f>COUNTIF('IDA country list'!B$2:B$79,'WORKING VERSION'!B33) = 1</f>
        <v>0</v>
      </c>
      <c r="D33" t="s">
        <v>187</v>
      </c>
      <c r="E33" t="s">
        <v>69</v>
      </c>
      <c r="F33" s="8" t="s">
        <v>188</v>
      </c>
      <c r="G33" s="6" t="str">
        <f t="shared" si="1"/>
        <v>2025</v>
      </c>
      <c r="H33" s="43">
        <v>2025</v>
      </c>
      <c r="I33" s="6" t="b">
        <f t="shared" si="0"/>
        <v>0</v>
      </c>
      <c r="J33" s="6"/>
      <c r="K33" t="s">
        <v>43</v>
      </c>
      <c r="L33" t="s">
        <v>44</v>
      </c>
      <c r="M33" t="s">
        <v>189</v>
      </c>
      <c r="N33" t="s">
        <v>34</v>
      </c>
      <c r="O33" t="s">
        <v>43</v>
      </c>
      <c r="U33"/>
      <c r="V33"/>
      <c r="W33"/>
      <c r="X33"/>
    </row>
    <row r="34" spans="1:24" ht="14.4" x14ac:dyDescent="0.3">
      <c r="A34" s="3" t="s">
        <v>190</v>
      </c>
      <c r="B34" s="3" t="s">
        <v>191</v>
      </c>
      <c r="C34" s="3" t="b">
        <f>COUNTIF('IDA country list'!B$2:B$79,'WORKING VERSION'!B34) = 1</f>
        <v>0</v>
      </c>
      <c r="D34" t="s">
        <v>192</v>
      </c>
      <c r="E34">
        <v>2017</v>
      </c>
      <c r="F34" s="8" t="s">
        <v>193</v>
      </c>
      <c r="G34" s="6" t="str">
        <f t="shared" si="1"/>
        <v>2017</v>
      </c>
      <c r="H34" s="43">
        <v>2017</v>
      </c>
      <c r="I34" s="6" t="b">
        <f t="shared" si="0"/>
        <v>1</v>
      </c>
      <c r="J34" s="6"/>
      <c r="K34" t="s">
        <v>43</v>
      </c>
      <c r="L34" t="s">
        <v>44</v>
      </c>
      <c r="M34" t="s">
        <v>34</v>
      </c>
      <c r="U34"/>
      <c r="V34"/>
      <c r="W34"/>
      <c r="X34"/>
    </row>
    <row r="35" spans="1:24" ht="14.4" x14ac:dyDescent="0.3">
      <c r="A35" s="3" t="s">
        <v>194</v>
      </c>
      <c r="B35" s="3" t="s">
        <v>195</v>
      </c>
      <c r="C35" s="3" t="b">
        <f>COUNTIF('IDA country list'!B$2:B$79,'WORKING VERSION'!B35) = 1</f>
        <v>0</v>
      </c>
      <c r="D35" t="s">
        <v>196</v>
      </c>
      <c r="E35" t="s">
        <v>197</v>
      </c>
      <c r="F35" s="8" t="s">
        <v>198</v>
      </c>
      <c r="G35" s="6" t="str">
        <f t="shared" si="1"/>
        <v>2026</v>
      </c>
      <c r="H35" s="43">
        <v>2026</v>
      </c>
      <c r="I35" s="6" t="b">
        <f t="shared" si="0"/>
        <v>0</v>
      </c>
      <c r="J35" s="6"/>
      <c r="K35" t="s">
        <v>43</v>
      </c>
      <c r="L35" t="s">
        <v>199</v>
      </c>
      <c r="M35" t="s">
        <v>34</v>
      </c>
      <c r="U35"/>
      <c r="V35"/>
      <c r="W35"/>
      <c r="X35"/>
    </row>
    <row r="36" spans="1:24" ht="14.4" x14ac:dyDescent="0.3">
      <c r="A36" s="3" t="s">
        <v>200</v>
      </c>
      <c r="B36" s="3" t="s">
        <v>201</v>
      </c>
      <c r="C36" s="3" t="b">
        <f>COUNTIF('IDA country list'!B$2:B$79,'WORKING VERSION'!B36) = 1</f>
        <v>0</v>
      </c>
      <c r="D36" t="s">
        <v>65</v>
      </c>
      <c r="F36" s="25"/>
      <c r="G36" s="6" t="str">
        <f t="shared" si="1"/>
        <v/>
      </c>
      <c r="H36" s="42"/>
      <c r="I36" s="6" t="b">
        <f t="shared" si="0"/>
        <v>1</v>
      </c>
      <c r="J36" s="6"/>
      <c r="K36" s="25"/>
      <c r="U36"/>
      <c r="V36"/>
      <c r="W36"/>
      <c r="X36"/>
    </row>
    <row r="37" spans="1:24" ht="14.4" x14ac:dyDescent="0.3">
      <c r="A37" s="3" t="s">
        <v>202</v>
      </c>
      <c r="B37" s="3" t="s">
        <v>203</v>
      </c>
      <c r="C37" s="3" t="b">
        <f>COUNTIF('IDA country list'!B$2:B$79,'WORKING VERSION'!B37) = 1</f>
        <v>1</v>
      </c>
      <c r="D37" t="s">
        <v>204</v>
      </c>
      <c r="E37" t="s">
        <v>205</v>
      </c>
      <c r="F37" s="25" t="s">
        <v>26</v>
      </c>
      <c r="G37" s="6" t="str">
        <f t="shared" si="1"/>
        <v>2021</v>
      </c>
      <c r="H37" s="43">
        <v>2021</v>
      </c>
      <c r="I37" s="6" t="b">
        <f t="shared" si="0"/>
        <v>1</v>
      </c>
      <c r="J37" s="6" t="b">
        <v>1</v>
      </c>
      <c r="K37" s="25" t="s">
        <v>34</v>
      </c>
      <c r="M37" t="s">
        <v>43</v>
      </c>
      <c r="U37"/>
      <c r="V37"/>
      <c r="W37"/>
      <c r="X37"/>
    </row>
    <row r="38" spans="1:24" ht="14.4" x14ac:dyDescent="0.3">
      <c r="A38" s="3" t="s">
        <v>206</v>
      </c>
      <c r="B38" s="3" t="s">
        <v>207</v>
      </c>
      <c r="C38" s="3" t="b">
        <f>COUNTIF('IDA country list'!B$2:B$79,'WORKING VERSION'!B38) = 1</f>
        <v>1</v>
      </c>
      <c r="D38" t="s">
        <v>208</v>
      </c>
      <c r="E38" t="s">
        <v>209</v>
      </c>
      <c r="F38" s="28" t="s">
        <v>210</v>
      </c>
      <c r="G38" s="6" t="str">
        <f t="shared" si="1"/>
        <v>2030</v>
      </c>
      <c r="H38" s="43">
        <v>2030</v>
      </c>
      <c r="I38" s="6" t="b">
        <f t="shared" si="0"/>
        <v>0</v>
      </c>
      <c r="J38" s="6"/>
      <c r="K38" s="13" t="s">
        <v>43</v>
      </c>
      <c r="L38" t="s">
        <v>86</v>
      </c>
      <c r="M38" t="s">
        <v>43</v>
      </c>
      <c r="N38" t="s">
        <v>211</v>
      </c>
      <c r="O38" t="s">
        <v>110</v>
      </c>
      <c r="T38" t="s">
        <v>34</v>
      </c>
      <c r="U38"/>
      <c r="V38"/>
      <c r="W38"/>
      <c r="X38"/>
    </row>
    <row r="39" spans="1:24" ht="14.4" x14ac:dyDescent="0.3">
      <c r="A39" s="3" t="s">
        <v>212</v>
      </c>
      <c r="B39" s="3" t="s">
        <v>213</v>
      </c>
      <c r="C39" s="3" t="b">
        <f>COUNTIF('IDA country list'!B$2:B$79,'WORKING VERSION'!B39) = 1</f>
        <v>1</v>
      </c>
      <c r="D39" t="s">
        <v>214</v>
      </c>
      <c r="E39" t="s">
        <v>215</v>
      </c>
      <c r="F39" s="8" t="s">
        <v>216</v>
      </c>
      <c r="G39" s="6" t="str">
        <f t="shared" si="1"/>
        <v>2017</v>
      </c>
      <c r="H39" s="43">
        <v>2017</v>
      </c>
      <c r="I39" s="6" t="b">
        <f t="shared" si="0"/>
        <v>1</v>
      </c>
      <c r="J39" s="6" t="b">
        <v>1</v>
      </c>
      <c r="K39" t="s">
        <v>43</v>
      </c>
      <c r="L39" t="s">
        <v>86</v>
      </c>
      <c r="M39" t="s">
        <v>43</v>
      </c>
      <c r="N39" t="s">
        <v>34</v>
      </c>
      <c r="U39"/>
      <c r="V39"/>
      <c r="W39"/>
      <c r="X39"/>
    </row>
    <row r="40" spans="1:24" ht="14.4" x14ac:dyDescent="0.3">
      <c r="A40" s="3" t="s">
        <v>217</v>
      </c>
      <c r="B40" s="3" t="s">
        <v>218</v>
      </c>
      <c r="C40" s="3" t="b">
        <f>COUNTIF('IDA country list'!B$2:B$79,'WORKING VERSION'!B40) = 1</f>
        <v>1</v>
      </c>
      <c r="D40" t="s">
        <v>219</v>
      </c>
      <c r="E40" t="s">
        <v>197</v>
      </c>
      <c r="F40" s="6" t="s">
        <v>220</v>
      </c>
      <c r="G40" s="6" t="str">
        <f t="shared" si="1"/>
        <v>2026</v>
      </c>
      <c r="H40" s="43">
        <v>2026</v>
      </c>
      <c r="I40" s="6" t="b">
        <f t="shared" si="0"/>
        <v>0</v>
      </c>
      <c r="J40" s="6"/>
      <c r="K40" s="25" t="s">
        <v>43</v>
      </c>
      <c r="L40" t="s">
        <v>86</v>
      </c>
      <c r="M40" t="s">
        <v>43</v>
      </c>
      <c r="N40" t="s">
        <v>43</v>
      </c>
      <c r="O40" t="s">
        <v>221</v>
      </c>
      <c r="P40" t="s">
        <v>222</v>
      </c>
      <c r="Q40" s="29">
        <v>315000000</v>
      </c>
      <c r="R40" t="s">
        <v>103</v>
      </c>
      <c r="S40" t="s">
        <v>223</v>
      </c>
      <c r="T40" t="s">
        <v>43</v>
      </c>
      <c r="U40"/>
      <c r="V40"/>
      <c r="W40"/>
      <c r="X40"/>
    </row>
    <row r="41" spans="1:24" ht="14.4" x14ac:dyDescent="0.3">
      <c r="A41" s="3" t="s">
        <v>224</v>
      </c>
      <c r="B41" s="3" t="s">
        <v>225</v>
      </c>
      <c r="C41" s="3" t="b">
        <f>COUNTIF('IDA country list'!B$2:B$79,'WORKING VERSION'!B41) = 1</f>
        <v>0</v>
      </c>
      <c r="D41" t="s">
        <v>226</v>
      </c>
      <c r="E41" t="s">
        <v>227</v>
      </c>
      <c r="F41" s="8" t="s">
        <v>228</v>
      </c>
      <c r="G41" s="6" t="str">
        <f t="shared" si="1"/>
        <v>2027</v>
      </c>
      <c r="H41" s="43">
        <v>2027</v>
      </c>
      <c r="I41" s="6" t="b">
        <f t="shared" si="0"/>
        <v>0</v>
      </c>
      <c r="J41" s="6"/>
      <c r="K41" t="s">
        <v>43</v>
      </c>
      <c r="L41" t="s">
        <v>57</v>
      </c>
      <c r="M41" t="s">
        <v>34</v>
      </c>
      <c r="U41"/>
      <c r="V41"/>
      <c r="W41"/>
      <c r="X41"/>
    </row>
    <row r="42" spans="1:24" ht="14.4" x14ac:dyDescent="0.3">
      <c r="A42" t="s">
        <v>229</v>
      </c>
      <c r="B42" s="3" t="s">
        <v>230</v>
      </c>
      <c r="C42" s="3" t="b">
        <f>COUNTIF('IDA country list'!B$2:B$79,'WORKING VERSION'!B42) = 1</f>
        <v>1</v>
      </c>
      <c r="I42" s="6" t="b">
        <f t="shared" si="0"/>
        <v>1</v>
      </c>
      <c r="J42" s="6" t="b">
        <v>1</v>
      </c>
    </row>
    <row r="43" spans="1:24" ht="14.4" x14ac:dyDescent="0.3">
      <c r="A43" s="4" t="s">
        <v>231</v>
      </c>
      <c r="B43" s="3" t="s">
        <v>232</v>
      </c>
      <c r="C43" s="3" t="b">
        <f>COUNTIF('IDA country list'!B$2:B$79,'WORKING VERSION'!B43) = 1</f>
        <v>1</v>
      </c>
      <c r="D43" t="s">
        <v>233</v>
      </c>
      <c r="E43" t="s">
        <v>197</v>
      </c>
      <c r="F43" s="8" t="s">
        <v>234</v>
      </c>
      <c r="G43" s="6" t="str">
        <f t="shared" ref="G43:G55" si="2">RIGHT(E43,4)</f>
        <v>2026</v>
      </c>
      <c r="H43" s="43">
        <v>2026</v>
      </c>
      <c r="I43" s="6" t="b">
        <f t="shared" si="0"/>
        <v>0</v>
      </c>
      <c r="J43" s="6"/>
      <c r="K43" t="s">
        <v>43</v>
      </c>
      <c r="L43" t="s">
        <v>164</v>
      </c>
      <c r="M43" t="s">
        <v>43</v>
      </c>
      <c r="N43" t="s">
        <v>43</v>
      </c>
      <c r="O43" t="s">
        <v>221</v>
      </c>
      <c r="P43" t="s">
        <v>996</v>
      </c>
      <c r="Q43" s="60">
        <v>201898899</v>
      </c>
      <c r="R43" t="s">
        <v>236</v>
      </c>
      <c r="S43" s="27" t="s">
        <v>997</v>
      </c>
      <c r="T43" t="s">
        <v>34</v>
      </c>
      <c r="U43"/>
      <c r="V43"/>
      <c r="W43"/>
      <c r="X43"/>
    </row>
    <row r="44" spans="1:24" ht="14.4" x14ac:dyDescent="0.3">
      <c r="A44" s="3" t="s">
        <v>237</v>
      </c>
      <c r="B44" s="3" t="s">
        <v>238</v>
      </c>
      <c r="C44" s="3" t="b">
        <f>COUNTIF('IDA country list'!B$2:B$79,'WORKING VERSION'!B44) = 1</f>
        <v>0</v>
      </c>
      <c r="D44" t="s">
        <v>239</v>
      </c>
      <c r="E44" t="s">
        <v>227</v>
      </c>
      <c r="F44" s="8" t="s">
        <v>240</v>
      </c>
      <c r="G44" s="6" t="str">
        <f t="shared" si="2"/>
        <v>2027</v>
      </c>
      <c r="H44" s="43">
        <v>2027</v>
      </c>
      <c r="I44" s="6" t="b">
        <f t="shared" si="0"/>
        <v>0</v>
      </c>
      <c r="J44" s="6"/>
      <c r="K44" t="s">
        <v>43</v>
      </c>
      <c r="L44" t="s">
        <v>57</v>
      </c>
      <c r="M44" t="s">
        <v>43</v>
      </c>
      <c r="N44" t="s">
        <v>43</v>
      </c>
      <c r="O44" t="s">
        <v>241</v>
      </c>
      <c r="P44" t="s">
        <v>242</v>
      </c>
      <c r="Q44" t="s">
        <v>243</v>
      </c>
      <c r="U44"/>
      <c r="V44"/>
      <c r="W44"/>
      <c r="X44"/>
    </row>
    <row r="45" spans="1:24" ht="14.4" x14ac:dyDescent="0.3">
      <c r="A45" s="3" t="s">
        <v>244</v>
      </c>
      <c r="B45" s="3" t="s">
        <v>245</v>
      </c>
      <c r="C45" s="3" t="b">
        <f>COUNTIF('IDA country list'!B$2:B$79,'WORKING VERSION'!B45) = 1</f>
        <v>0</v>
      </c>
      <c r="D45" t="s">
        <v>65</v>
      </c>
      <c r="F45" s="25"/>
      <c r="G45" s="6" t="str">
        <f t="shared" si="2"/>
        <v/>
      </c>
      <c r="H45" s="42"/>
      <c r="I45" s="6" t="b">
        <f t="shared" si="0"/>
        <v>1</v>
      </c>
      <c r="J45" s="6"/>
      <c r="K45" s="25"/>
      <c r="U45"/>
      <c r="V45"/>
      <c r="W45"/>
      <c r="X45"/>
    </row>
    <row r="46" spans="1:24" ht="14.4" x14ac:dyDescent="0.3">
      <c r="A46" s="3" t="s">
        <v>246</v>
      </c>
      <c r="B46" s="3" t="s">
        <v>247</v>
      </c>
      <c r="C46" s="3" t="b">
        <f>COUNTIF('IDA country list'!B$2:B$79,'WORKING VERSION'!B46) = 1</f>
        <v>0</v>
      </c>
      <c r="D46" t="s">
        <v>248</v>
      </c>
      <c r="E46" t="s">
        <v>249</v>
      </c>
      <c r="F46" s="27" t="s">
        <v>250</v>
      </c>
      <c r="G46" s="6" t="str">
        <f t="shared" si="2"/>
        <v>2025</v>
      </c>
      <c r="H46" s="43">
        <v>2025</v>
      </c>
      <c r="I46" s="6" t="b">
        <f t="shared" si="0"/>
        <v>0</v>
      </c>
      <c r="J46" s="6"/>
      <c r="K46" t="s">
        <v>43</v>
      </c>
      <c r="L46" t="s">
        <v>44</v>
      </c>
      <c r="M46" t="s">
        <v>34</v>
      </c>
      <c r="U46"/>
      <c r="V46"/>
      <c r="W46"/>
      <c r="X46"/>
    </row>
    <row r="47" spans="1:24" ht="14.4" x14ac:dyDescent="0.3">
      <c r="A47" s="3" t="s">
        <v>251</v>
      </c>
      <c r="B47" s="3" t="s">
        <v>252</v>
      </c>
      <c r="C47" s="3" t="b">
        <f>COUNTIF('IDA country list'!B$2:B$79,'WORKING VERSION'!B47) = 1</f>
        <v>0</v>
      </c>
      <c r="D47" t="s">
        <v>253</v>
      </c>
      <c r="E47" t="s">
        <v>197</v>
      </c>
      <c r="F47" s="8" t="s">
        <v>254</v>
      </c>
      <c r="G47" s="6" t="str">
        <f t="shared" si="2"/>
        <v>2026</v>
      </c>
      <c r="H47" s="43">
        <v>2026</v>
      </c>
      <c r="I47" s="6" t="b">
        <f t="shared" si="0"/>
        <v>0</v>
      </c>
      <c r="J47" s="6"/>
      <c r="K47" t="s">
        <v>43</v>
      </c>
      <c r="L47" t="s">
        <v>44</v>
      </c>
      <c r="M47" t="s">
        <v>34</v>
      </c>
      <c r="U47"/>
      <c r="V47"/>
      <c r="W47"/>
      <c r="X47"/>
    </row>
    <row r="48" spans="1:24" ht="14.4" x14ac:dyDescent="0.3">
      <c r="A48" s="3" t="s">
        <v>255</v>
      </c>
      <c r="B48" s="3" t="s">
        <v>256</v>
      </c>
      <c r="C48" s="3" t="b">
        <f>COUNTIF('IDA country list'!B$2:B$79,'WORKING VERSION'!B48) = 1</f>
        <v>0</v>
      </c>
      <c r="D48" t="s">
        <v>257</v>
      </c>
      <c r="E48" t="s">
        <v>205</v>
      </c>
      <c r="F48" s="8" t="s">
        <v>258</v>
      </c>
      <c r="G48" s="6" t="str">
        <f t="shared" si="2"/>
        <v>2021</v>
      </c>
      <c r="H48" s="43">
        <v>2021</v>
      </c>
      <c r="I48" s="6" t="b">
        <f t="shared" si="0"/>
        <v>1</v>
      </c>
      <c r="J48" s="6"/>
      <c r="K48" t="s">
        <v>43</v>
      </c>
      <c r="L48" t="s">
        <v>44</v>
      </c>
      <c r="M48" t="s">
        <v>259</v>
      </c>
      <c r="U48"/>
      <c r="V48"/>
      <c r="W48"/>
      <c r="X48"/>
    </row>
    <row r="49" spans="1:24" ht="14.4" x14ac:dyDescent="0.3">
      <c r="A49" s="57" t="s">
        <v>260</v>
      </c>
      <c r="B49" s="3" t="s">
        <v>261</v>
      </c>
      <c r="C49" s="3" t="b">
        <f>COUNTIF('IDA country list'!B$2:B$79,'WORKING VERSION'!B49) = 1</f>
        <v>1</v>
      </c>
      <c r="D49" t="s">
        <v>262</v>
      </c>
      <c r="E49" t="s">
        <v>149</v>
      </c>
      <c r="F49" s="8" t="s">
        <v>263</v>
      </c>
      <c r="G49" s="6" t="str">
        <f t="shared" si="2"/>
        <v>2029</v>
      </c>
      <c r="H49" s="43">
        <v>2029</v>
      </c>
      <c r="I49" s="6" t="b">
        <f t="shared" si="0"/>
        <v>0</v>
      </c>
      <c r="J49" s="58" t="b">
        <v>1</v>
      </c>
      <c r="K49" t="s">
        <v>43</v>
      </c>
      <c r="L49" t="s">
        <v>86</v>
      </c>
      <c r="M49" t="s">
        <v>43</v>
      </c>
      <c r="N49" t="s">
        <v>43</v>
      </c>
      <c r="O49" t="s">
        <v>264</v>
      </c>
      <c r="P49" t="s">
        <v>265</v>
      </c>
      <c r="Q49" s="29">
        <v>545000</v>
      </c>
      <c r="R49" t="s">
        <v>266</v>
      </c>
      <c r="S49" t="s">
        <v>998</v>
      </c>
      <c r="U49"/>
      <c r="V49"/>
      <c r="W49"/>
      <c r="X49"/>
    </row>
    <row r="50" spans="1:24" ht="14.4" x14ac:dyDescent="0.3">
      <c r="A50" s="3" t="s">
        <v>267</v>
      </c>
      <c r="B50" s="3" t="s">
        <v>268</v>
      </c>
      <c r="C50" s="3" t="b">
        <f>COUNTIF('IDA country list'!B$2:B$79,'WORKING VERSION'!B50) = 1</f>
        <v>1</v>
      </c>
      <c r="D50" t="s">
        <v>65</v>
      </c>
      <c r="G50" s="6" t="str">
        <f t="shared" si="2"/>
        <v/>
      </c>
      <c r="H50" s="42"/>
      <c r="I50" s="6" t="b">
        <f t="shared" si="0"/>
        <v>1</v>
      </c>
      <c r="J50" s="6" t="b">
        <v>1</v>
      </c>
      <c r="U50"/>
      <c r="V50"/>
      <c r="W50"/>
      <c r="X50"/>
    </row>
    <row r="51" spans="1:24" ht="14.4" x14ac:dyDescent="0.3">
      <c r="A51" s="3" t="s">
        <v>269</v>
      </c>
      <c r="B51" s="3" t="s">
        <v>270</v>
      </c>
      <c r="C51" s="3" t="b">
        <f>COUNTIF('IDA country list'!B$2:B$79,'WORKING VERSION'!B51) = 1</f>
        <v>0</v>
      </c>
      <c r="D51" t="s">
        <v>271</v>
      </c>
      <c r="E51">
        <v>2025</v>
      </c>
      <c r="F51" s="25" t="s">
        <v>272</v>
      </c>
      <c r="G51" s="6" t="str">
        <f t="shared" si="2"/>
        <v>2025</v>
      </c>
      <c r="H51" s="43">
        <v>2025</v>
      </c>
      <c r="I51" s="6" t="b">
        <f t="shared" si="0"/>
        <v>0</v>
      </c>
      <c r="J51" s="6"/>
      <c r="K51" t="s">
        <v>43</v>
      </c>
      <c r="L51" t="s">
        <v>44</v>
      </c>
      <c r="M51" t="s">
        <v>34</v>
      </c>
      <c r="U51"/>
      <c r="V51"/>
      <c r="W51"/>
      <c r="X51"/>
    </row>
    <row r="52" spans="1:24" ht="14.4" x14ac:dyDescent="0.3">
      <c r="A52" s="3" t="s">
        <v>273</v>
      </c>
      <c r="B52" s="3" t="s">
        <v>274</v>
      </c>
      <c r="C52" s="3" t="b">
        <f>COUNTIF('IDA country list'!B$2:B$79,'WORKING VERSION'!B52) = 1</f>
        <v>0</v>
      </c>
      <c r="D52" t="s">
        <v>275</v>
      </c>
      <c r="E52" t="s">
        <v>138</v>
      </c>
      <c r="F52" s="8" t="s">
        <v>276</v>
      </c>
      <c r="G52" s="6" t="str">
        <f t="shared" si="2"/>
        <v>2024</v>
      </c>
      <c r="H52" s="43">
        <v>2024</v>
      </c>
      <c r="I52" s="6" t="b">
        <f t="shared" si="0"/>
        <v>1</v>
      </c>
      <c r="J52" s="6"/>
      <c r="K52" t="s">
        <v>43</v>
      </c>
      <c r="L52" t="s">
        <v>57</v>
      </c>
      <c r="M52" t="s">
        <v>34</v>
      </c>
      <c r="U52"/>
      <c r="V52"/>
      <c r="W52"/>
      <c r="X52"/>
    </row>
    <row r="53" spans="1:24" ht="14.4" x14ac:dyDescent="0.3">
      <c r="A53" s="4" t="s">
        <v>277</v>
      </c>
      <c r="B53" s="3" t="s">
        <v>278</v>
      </c>
      <c r="C53" s="3" t="b">
        <f>COUNTIF('IDA country list'!B$2:B$79,'WORKING VERSION'!B53) = 1</f>
        <v>0</v>
      </c>
      <c r="D53" t="s">
        <v>279</v>
      </c>
      <c r="E53" t="s">
        <v>280</v>
      </c>
      <c r="F53" s="13" t="s">
        <v>26</v>
      </c>
      <c r="G53" s="6" t="str">
        <f t="shared" si="2"/>
        <v>2019</v>
      </c>
      <c r="H53" s="43">
        <v>2019</v>
      </c>
      <c r="I53" s="6" t="b">
        <f t="shared" si="0"/>
        <v>1</v>
      </c>
      <c r="J53" s="6"/>
      <c r="K53" s="25" t="s">
        <v>34</v>
      </c>
      <c r="U53"/>
      <c r="V53"/>
      <c r="W53"/>
      <c r="X53"/>
    </row>
    <row r="54" spans="1:24" ht="14.4" x14ac:dyDescent="0.3">
      <c r="A54" s="3" t="s">
        <v>281</v>
      </c>
      <c r="B54" s="3" t="s">
        <v>282</v>
      </c>
      <c r="C54" s="3" t="b">
        <f>COUNTIF('IDA country list'!B$2:B$79,'WORKING VERSION'!B54) = 1</f>
        <v>0</v>
      </c>
      <c r="D54" t="s">
        <v>283</v>
      </c>
      <c r="E54" t="s">
        <v>108</v>
      </c>
      <c r="F54" s="8" t="s">
        <v>284</v>
      </c>
      <c r="G54" s="6" t="str">
        <f t="shared" si="2"/>
        <v>2025</v>
      </c>
      <c r="H54" s="43">
        <v>2025</v>
      </c>
      <c r="I54" s="6" t="b">
        <f t="shared" si="0"/>
        <v>0</v>
      </c>
      <c r="J54" s="6"/>
      <c r="K54" t="s">
        <v>43</v>
      </c>
      <c r="L54" t="s">
        <v>57</v>
      </c>
      <c r="M54" t="s">
        <v>34</v>
      </c>
      <c r="U54"/>
      <c r="V54"/>
      <c r="W54"/>
      <c r="X54"/>
    </row>
    <row r="55" spans="1:24" ht="14.4" x14ac:dyDescent="0.3">
      <c r="A55" s="3" t="s">
        <v>285</v>
      </c>
      <c r="B55" s="3" t="s">
        <v>286</v>
      </c>
      <c r="C55" s="3" t="b">
        <f>COUNTIF('IDA country list'!B$2:B$79,'WORKING VERSION'!B55) = 1</f>
        <v>0</v>
      </c>
      <c r="D55" t="s">
        <v>287</v>
      </c>
      <c r="E55" t="s">
        <v>205</v>
      </c>
      <c r="F55" s="25" t="s">
        <v>26</v>
      </c>
      <c r="G55" s="6" t="str">
        <f t="shared" si="2"/>
        <v>2021</v>
      </c>
      <c r="H55" s="43">
        <v>2021</v>
      </c>
      <c r="I55" s="6" t="b">
        <f t="shared" si="0"/>
        <v>1</v>
      </c>
      <c r="J55" s="6"/>
      <c r="K55" s="25" t="s">
        <v>34</v>
      </c>
      <c r="U55"/>
      <c r="V55"/>
      <c r="W55"/>
      <c r="X55"/>
    </row>
    <row r="56" spans="1:24" ht="14.4" x14ac:dyDescent="0.3">
      <c r="A56" t="s">
        <v>288</v>
      </c>
      <c r="B56" s="3" t="s">
        <v>289</v>
      </c>
      <c r="C56" s="3" t="b">
        <f>COUNTIF('IDA country list'!B$2:B$79,'WORKING VERSION'!B56) = 1</f>
        <v>1</v>
      </c>
      <c r="I56" s="6" t="b">
        <f t="shared" si="0"/>
        <v>1</v>
      </c>
      <c r="J56" s="6" t="b">
        <v>1</v>
      </c>
    </row>
    <row r="57" spans="1:24" ht="14.4" x14ac:dyDescent="0.3">
      <c r="A57" s="3" t="s">
        <v>290</v>
      </c>
      <c r="B57" s="3" t="s">
        <v>291</v>
      </c>
      <c r="C57" s="3" t="b">
        <f>COUNTIF('IDA country list'!B$2:B$79,'WORKING VERSION'!B57) = 1</f>
        <v>0</v>
      </c>
      <c r="D57" t="s">
        <v>292</v>
      </c>
      <c r="E57" t="s">
        <v>138</v>
      </c>
      <c r="F57" s="8" t="s">
        <v>293</v>
      </c>
      <c r="G57" s="6" t="str">
        <f>RIGHT(E57,4)</f>
        <v>2024</v>
      </c>
      <c r="H57" s="43">
        <v>2024</v>
      </c>
      <c r="I57" s="6" t="b">
        <f t="shared" si="0"/>
        <v>1</v>
      </c>
      <c r="J57" s="6"/>
      <c r="K57" t="s">
        <v>43</v>
      </c>
      <c r="L57" t="s">
        <v>57</v>
      </c>
      <c r="M57" t="s">
        <v>294</v>
      </c>
      <c r="N57" t="s">
        <v>43</v>
      </c>
      <c r="O57" t="s">
        <v>295</v>
      </c>
      <c r="P57" s="36" t="s">
        <v>296</v>
      </c>
      <c r="Q57" s="29">
        <v>2850230</v>
      </c>
      <c r="R57" t="s">
        <v>297</v>
      </c>
      <c r="S57" t="s">
        <v>298</v>
      </c>
      <c r="T57" t="s">
        <v>34</v>
      </c>
      <c r="U57"/>
      <c r="V57"/>
      <c r="W57"/>
      <c r="X57"/>
    </row>
    <row r="58" spans="1:24" ht="14.4" x14ac:dyDescent="0.3">
      <c r="A58" s="3" t="s">
        <v>299</v>
      </c>
      <c r="B58" s="3" t="s">
        <v>300</v>
      </c>
      <c r="C58" s="3" t="b">
        <f>COUNTIF('IDA country list'!B$2:B$79,'WORKING VERSION'!B58) = 1</f>
        <v>0</v>
      </c>
      <c r="D58" t="s">
        <v>301</v>
      </c>
      <c r="E58" t="s">
        <v>302</v>
      </c>
      <c r="F58" s="8" t="s">
        <v>303</v>
      </c>
      <c r="G58" s="6" t="str">
        <f>RIGHT(E58,4)</f>
        <v>2030</v>
      </c>
      <c r="H58" s="43">
        <v>2030</v>
      </c>
      <c r="I58" s="6" t="b">
        <f t="shared" si="0"/>
        <v>0</v>
      </c>
      <c r="J58" s="6"/>
      <c r="K58" t="s">
        <v>43</v>
      </c>
      <c r="L58" t="s">
        <v>44</v>
      </c>
      <c r="M58" t="s">
        <v>34</v>
      </c>
      <c r="U58"/>
      <c r="V58"/>
      <c r="W58"/>
      <c r="X58"/>
    </row>
    <row r="59" spans="1:24" ht="14.4" x14ac:dyDescent="0.3">
      <c r="A59" s="3" t="s">
        <v>304</v>
      </c>
      <c r="B59" s="3" t="s">
        <v>305</v>
      </c>
      <c r="C59" s="3" t="b">
        <f>COUNTIF('IDA country list'!B$2:B$79,'WORKING VERSION'!B59) = 1</f>
        <v>1</v>
      </c>
      <c r="D59" t="s">
        <v>999</v>
      </c>
      <c r="E59" s="36" t="s">
        <v>55</v>
      </c>
      <c r="F59" s="6" t="s">
        <v>306</v>
      </c>
      <c r="G59" s="6">
        <v>2026</v>
      </c>
      <c r="H59" s="42">
        <v>2026</v>
      </c>
      <c r="I59" s="6" t="b">
        <f t="shared" si="0"/>
        <v>0</v>
      </c>
      <c r="J59" s="6"/>
      <c r="K59" s="25" t="s">
        <v>43</v>
      </c>
      <c r="L59" t="s">
        <v>44</v>
      </c>
      <c r="M59" t="s">
        <v>43</v>
      </c>
      <c r="N59" t="s">
        <v>43</v>
      </c>
      <c r="O59" t="s">
        <v>307</v>
      </c>
      <c r="P59" t="s">
        <v>308</v>
      </c>
      <c r="Q59" s="29">
        <v>1673542</v>
      </c>
      <c r="R59" t="s">
        <v>266</v>
      </c>
      <c r="S59" t="s">
        <v>309</v>
      </c>
      <c r="T59" t="s">
        <v>43</v>
      </c>
      <c r="U59"/>
      <c r="V59"/>
      <c r="W59"/>
      <c r="X59"/>
    </row>
    <row r="60" spans="1:24" ht="14.4" x14ac:dyDescent="0.3">
      <c r="A60" s="3" t="s">
        <v>310</v>
      </c>
      <c r="B60" s="3" t="s">
        <v>311</v>
      </c>
      <c r="C60" s="3" t="b">
        <f>COUNTIF('IDA country list'!B$2:B$79,'WORKING VERSION'!B60) = 1</f>
        <v>0</v>
      </c>
      <c r="D60" t="s">
        <v>312</v>
      </c>
      <c r="E60" t="s">
        <v>313</v>
      </c>
      <c r="F60" s="8" t="s">
        <v>314</v>
      </c>
      <c r="G60" s="6" t="str">
        <f t="shared" ref="G60:G91" si="3">RIGHT(E60,4)</f>
        <v>2026</v>
      </c>
      <c r="H60" s="43">
        <v>2026</v>
      </c>
      <c r="I60" s="6" t="b">
        <f t="shared" si="0"/>
        <v>0</v>
      </c>
      <c r="J60" s="6"/>
      <c r="K60" t="s">
        <v>43</v>
      </c>
      <c r="L60" t="s">
        <v>199</v>
      </c>
      <c r="M60" t="s">
        <v>34</v>
      </c>
      <c r="U60"/>
      <c r="V60"/>
      <c r="W60"/>
      <c r="X60"/>
    </row>
    <row r="61" spans="1:24" ht="14.4" x14ac:dyDescent="0.3">
      <c r="A61" s="3" t="s">
        <v>315</v>
      </c>
      <c r="B61" s="3" t="s">
        <v>316</v>
      </c>
      <c r="C61" s="3" t="b">
        <f>COUNTIF('IDA country list'!B$2:B$79,'WORKING VERSION'!B61) = 1</f>
        <v>1</v>
      </c>
      <c r="D61" t="s">
        <v>65</v>
      </c>
      <c r="G61" s="6" t="str">
        <f t="shared" si="3"/>
        <v/>
      </c>
      <c r="H61" s="42"/>
      <c r="I61" s="6" t="b">
        <f t="shared" si="0"/>
        <v>1</v>
      </c>
      <c r="J61" s="6" t="b">
        <v>1</v>
      </c>
      <c r="U61"/>
      <c r="V61"/>
      <c r="W61"/>
      <c r="X61"/>
    </row>
    <row r="62" spans="1:24" ht="14.4" x14ac:dyDescent="0.3">
      <c r="A62" s="3" t="s">
        <v>317</v>
      </c>
      <c r="B62" s="3" t="s">
        <v>318</v>
      </c>
      <c r="C62" s="3" t="b">
        <f>COUNTIF('IDA country list'!B$2:B$79,'WORKING VERSION'!B62) = 1</f>
        <v>0</v>
      </c>
      <c r="D62" t="s">
        <v>319</v>
      </c>
      <c r="E62" t="s">
        <v>320</v>
      </c>
      <c r="F62" s="8" t="s">
        <v>321</v>
      </c>
      <c r="G62" s="6" t="str">
        <f t="shared" si="3"/>
        <v>2025</v>
      </c>
      <c r="H62" s="43">
        <v>2025</v>
      </c>
      <c r="I62" s="6" t="b">
        <f t="shared" si="0"/>
        <v>0</v>
      </c>
      <c r="J62" s="6"/>
      <c r="K62" t="s">
        <v>43</v>
      </c>
      <c r="L62" t="s">
        <v>44</v>
      </c>
      <c r="M62" t="s">
        <v>34</v>
      </c>
      <c r="U62"/>
      <c r="V62"/>
      <c r="W62"/>
      <c r="X62"/>
    </row>
    <row r="63" spans="1:24" ht="14.4" x14ac:dyDescent="0.3">
      <c r="A63" s="3" t="s">
        <v>322</v>
      </c>
      <c r="B63" s="3" t="s">
        <v>323</v>
      </c>
      <c r="C63" s="3" t="b">
        <f>COUNTIF('IDA country list'!B$2:B$79,'WORKING VERSION'!B63) = 1</f>
        <v>1</v>
      </c>
      <c r="D63" t="s">
        <v>65</v>
      </c>
      <c r="G63" s="6" t="str">
        <f t="shared" si="3"/>
        <v/>
      </c>
      <c r="H63" s="42"/>
      <c r="I63" s="6" t="b">
        <f t="shared" si="0"/>
        <v>1</v>
      </c>
      <c r="J63" s="6" t="b">
        <v>1</v>
      </c>
      <c r="U63"/>
      <c r="V63"/>
      <c r="W63"/>
      <c r="X63"/>
    </row>
    <row r="64" spans="1:24" ht="14.4" x14ac:dyDescent="0.3">
      <c r="A64" s="3" t="s">
        <v>324</v>
      </c>
      <c r="B64" s="3" t="s">
        <v>325</v>
      </c>
      <c r="C64" s="3" t="b">
        <f>COUNTIF('IDA country list'!B$2:B$79,'WORKING VERSION'!B64) = 1</f>
        <v>0</v>
      </c>
      <c r="D64" t="s">
        <v>326</v>
      </c>
      <c r="E64" t="s">
        <v>249</v>
      </c>
      <c r="F64" s="39" t="s">
        <v>327</v>
      </c>
      <c r="G64" s="6" t="str">
        <f t="shared" si="3"/>
        <v>2025</v>
      </c>
      <c r="H64" s="43">
        <v>2025</v>
      </c>
      <c r="I64" s="6" t="b">
        <f t="shared" si="0"/>
        <v>0</v>
      </c>
      <c r="J64" s="6"/>
      <c r="K64" s="25" t="s">
        <v>43</v>
      </c>
      <c r="L64" t="s">
        <v>86</v>
      </c>
      <c r="M64" t="s">
        <v>43</v>
      </c>
      <c r="N64" t="s">
        <v>43</v>
      </c>
      <c r="O64" t="s">
        <v>328</v>
      </c>
      <c r="P64" t="s">
        <v>329</v>
      </c>
      <c r="Q64" s="29">
        <v>45000000</v>
      </c>
      <c r="R64" t="s">
        <v>103</v>
      </c>
      <c r="S64" t="s">
        <v>330</v>
      </c>
      <c r="T64" t="s">
        <v>43</v>
      </c>
      <c r="U64"/>
      <c r="V64"/>
      <c r="W64"/>
      <c r="X64"/>
    </row>
    <row r="65" spans="1:24" ht="14.4" x14ac:dyDescent="0.3">
      <c r="A65" s="19" t="s">
        <v>331</v>
      </c>
      <c r="B65" s="3" t="s">
        <v>332</v>
      </c>
      <c r="C65" s="3" t="b">
        <f>COUNTIF('IDA country list'!B$2:B$79,'WORKING VERSION'!B65) = 1</f>
        <v>0</v>
      </c>
      <c r="D65" s="19" t="s">
        <v>333</v>
      </c>
      <c r="E65" t="s">
        <v>334</v>
      </c>
      <c r="F65" s="40" t="s">
        <v>335</v>
      </c>
      <c r="G65" s="6" t="str">
        <f t="shared" si="3"/>
        <v>2025</v>
      </c>
      <c r="H65" s="43">
        <v>2025</v>
      </c>
      <c r="I65" s="6" t="b">
        <f t="shared" si="0"/>
        <v>0</v>
      </c>
      <c r="J65" s="6"/>
      <c r="K65" t="s">
        <v>43</v>
      </c>
      <c r="L65" t="s">
        <v>44</v>
      </c>
      <c r="M65" t="s">
        <v>43</v>
      </c>
      <c r="N65" t="s">
        <v>34</v>
      </c>
      <c r="U65"/>
      <c r="V65"/>
      <c r="W65"/>
      <c r="X65"/>
    </row>
    <row r="66" spans="1:24" ht="14.4" x14ac:dyDescent="0.3">
      <c r="A66" s="3" t="s">
        <v>336</v>
      </c>
      <c r="B66" s="3" t="s">
        <v>337</v>
      </c>
      <c r="C66" s="3" t="b">
        <f>COUNTIF('IDA country list'!B$2:B$79,'WORKING VERSION'!B66) = 1</f>
        <v>0</v>
      </c>
      <c r="D66" t="s">
        <v>338</v>
      </c>
      <c r="E66" t="s">
        <v>339</v>
      </c>
      <c r="F66" s="8" t="s">
        <v>340</v>
      </c>
      <c r="G66" s="6" t="str">
        <f t="shared" si="3"/>
        <v>2027</v>
      </c>
      <c r="H66" s="43">
        <v>2027</v>
      </c>
      <c r="I66" s="6" t="b">
        <f t="shared" si="0"/>
        <v>0</v>
      </c>
      <c r="J66" s="6"/>
      <c r="K66" t="s">
        <v>43</v>
      </c>
      <c r="L66" t="s">
        <v>44</v>
      </c>
      <c r="M66" s="38" t="s">
        <v>34</v>
      </c>
      <c r="U66"/>
      <c r="V66"/>
      <c r="W66"/>
      <c r="X66"/>
    </row>
    <row r="67" spans="1:24" ht="14.4" x14ac:dyDescent="0.3">
      <c r="A67" s="3" t="s">
        <v>341</v>
      </c>
      <c r="B67" s="3" t="s">
        <v>342</v>
      </c>
      <c r="C67" s="3" t="b">
        <f>COUNTIF('IDA country list'!B$2:B$79,'WORKING VERSION'!B67) = 1</f>
        <v>1</v>
      </c>
      <c r="D67" t="s">
        <v>343</v>
      </c>
      <c r="E67" s="36" t="s">
        <v>344</v>
      </c>
      <c r="F67" s="8" t="s">
        <v>345</v>
      </c>
      <c r="G67" s="6" t="str">
        <f t="shared" si="3"/>
        <v>2022</v>
      </c>
      <c r="H67" s="43">
        <v>2022</v>
      </c>
      <c r="I67" s="6" t="b">
        <f t="shared" ref="I67:I130" si="4">H67&lt;2025</f>
        <v>1</v>
      </c>
      <c r="J67" s="6" t="b">
        <v>1</v>
      </c>
      <c r="K67" t="s">
        <v>43</v>
      </c>
      <c r="L67" t="s">
        <v>44</v>
      </c>
      <c r="M67" t="s">
        <v>43</v>
      </c>
      <c r="N67" t="s">
        <v>43</v>
      </c>
      <c r="O67" t="s">
        <v>346</v>
      </c>
      <c r="P67" t="s">
        <v>347</v>
      </c>
      <c r="Q67" s="29">
        <v>223475</v>
      </c>
      <c r="R67" t="s">
        <v>266</v>
      </c>
      <c r="S67" t="s">
        <v>348</v>
      </c>
      <c r="T67" t="s">
        <v>34</v>
      </c>
      <c r="U67"/>
      <c r="V67"/>
      <c r="W67"/>
      <c r="X67"/>
    </row>
    <row r="68" spans="1:24" ht="14.4" x14ac:dyDescent="0.3">
      <c r="A68" s="3" t="s">
        <v>341</v>
      </c>
      <c r="B68" s="3" t="s">
        <v>342</v>
      </c>
      <c r="C68" s="3" t="b">
        <f>COUNTIF('IDA country list'!B$2:B$79,'WORKING VERSION'!B68) = 1</f>
        <v>1</v>
      </c>
      <c r="D68" t="s">
        <v>349</v>
      </c>
      <c r="E68" t="s">
        <v>344</v>
      </c>
      <c r="F68" s="6" t="s">
        <v>350</v>
      </c>
      <c r="G68" s="6" t="str">
        <f t="shared" si="3"/>
        <v>2022</v>
      </c>
      <c r="H68" s="43">
        <v>2022</v>
      </c>
      <c r="I68" s="6" t="b">
        <f t="shared" si="4"/>
        <v>1</v>
      </c>
      <c r="J68" s="6" t="b">
        <v>1</v>
      </c>
      <c r="K68" t="s">
        <v>43</v>
      </c>
      <c r="L68" t="s">
        <v>44</v>
      </c>
      <c r="M68" t="s">
        <v>43</v>
      </c>
      <c r="N68" t="s">
        <v>43</v>
      </c>
      <c r="O68" t="s">
        <v>346</v>
      </c>
      <c r="P68" t="s">
        <v>351</v>
      </c>
      <c r="Q68" s="29">
        <v>26627778</v>
      </c>
      <c r="R68" t="s">
        <v>266</v>
      </c>
      <c r="S68" t="s">
        <v>352</v>
      </c>
      <c r="T68" t="s">
        <v>353</v>
      </c>
      <c r="U68"/>
      <c r="V68"/>
      <c r="W68"/>
      <c r="X68"/>
    </row>
    <row r="69" spans="1:24" ht="14.4" x14ac:dyDescent="0.3">
      <c r="A69" s="3" t="s">
        <v>354</v>
      </c>
      <c r="B69" s="3" t="s">
        <v>355</v>
      </c>
      <c r="C69" s="3" t="b">
        <f>COUNTIF('IDA country list'!B$2:B$79,'WORKING VERSION'!B69) = 1</f>
        <v>1</v>
      </c>
      <c r="D69" t="s">
        <v>356</v>
      </c>
      <c r="E69" t="s">
        <v>84</v>
      </c>
      <c r="F69" s="6" t="s">
        <v>357</v>
      </c>
      <c r="G69" s="6" t="str">
        <f t="shared" si="3"/>
        <v>2020</v>
      </c>
      <c r="H69" s="43">
        <v>2020</v>
      </c>
      <c r="I69" s="6" t="b">
        <f t="shared" si="4"/>
        <v>1</v>
      </c>
      <c r="J69" s="6" t="b">
        <v>1</v>
      </c>
      <c r="K69" t="s">
        <v>43</v>
      </c>
      <c r="L69" t="s">
        <v>86</v>
      </c>
      <c r="M69" t="s">
        <v>43</v>
      </c>
      <c r="N69" t="s">
        <v>43</v>
      </c>
      <c r="O69" t="s">
        <v>87</v>
      </c>
      <c r="P69" t="s">
        <v>358</v>
      </c>
      <c r="Q69" s="29">
        <v>324000000</v>
      </c>
      <c r="R69" t="s">
        <v>359</v>
      </c>
      <c r="S69" t="s">
        <v>360</v>
      </c>
      <c r="T69" t="s">
        <v>43</v>
      </c>
      <c r="U69"/>
      <c r="V69"/>
      <c r="W69"/>
      <c r="X69"/>
    </row>
    <row r="70" spans="1:24" ht="14.4" x14ac:dyDescent="0.3">
      <c r="A70" s="19" t="s">
        <v>361</v>
      </c>
      <c r="B70" s="3" t="s">
        <v>362</v>
      </c>
      <c r="C70" s="3" t="b">
        <f>COUNTIF('IDA country list'!B$2:B$79,'WORKING VERSION'!B70) = 1</f>
        <v>1</v>
      </c>
      <c r="D70" s="19" t="s">
        <v>363</v>
      </c>
      <c r="E70" t="s">
        <v>61</v>
      </c>
      <c r="F70" s="24" t="s">
        <v>364</v>
      </c>
      <c r="G70" s="6" t="str">
        <f t="shared" si="3"/>
        <v>2028</v>
      </c>
      <c r="H70" s="43">
        <v>2028</v>
      </c>
      <c r="I70" s="6" t="b">
        <f t="shared" si="4"/>
        <v>0</v>
      </c>
      <c r="J70" s="6"/>
      <c r="K70" t="s">
        <v>43</v>
      </c>
      <c r="L70" t="s">
        <v>44</v>
      </c>
      <c r="M70" t="s">
        <v>43</v>
      </c>
      <c r="N70" t="s">
        <v>34</v>
      </c>
      <c r="U70"/>
      <c r="V70"/>
      <c r="W70"/>
      <c r="X70"/>
    </row>
    <row r="71" spans="1:24" ht="14.4" x14ac:dyDescent="0.3">
      <c r="A71" s="3" t="s">
        <v>365</v>
      </c>
      <c r="B71" s="3" t="s">
        <v>366</v>
      </c>
      <c r="C71" s="3" t="b">
        <f>COUNTIF('IDA country list'!B$2:B$79,'WORKING VERSION'!B71) = 1</f>
        <v>1</v>
      </c>
      <c r="D71" t="s">
        <v>367</v>
      </c>
      <c r="E71" t="s">
        <v>368</v>
      </c>
      <c r="F71" s="8" t="s">
        <v>369</v>
      </c>
      <c r="G71" s="6" t="str">
        <f t="shared" si="3"/>
        <v>2020</v>
      </c>
      <c r="H71" s="43">
        <v>2020</v>
      </c>
      <c r="I71" s="6" t="b">
        <f t="shared" si="4"/>
        <v>1</v>
      </c>
      <c r="J71" s="6" t="b">
        <v>1</v>
      </c>
      <c r="K71" t="s">
        <v>43</v>
      </c>
      <c r="L71" t="s">
        <v>86</v>
      </c>
      <c r="M71" s="27" t="s">
        <v>370</v>
      </c>
      <c r="N71" t="s">
        <v>34</v>
      </c>
      <c r="U71"/>
      <c r="V71"/>
      <c r="W71"/>
      <c r="X71"/>
    </row>
    <row r="72" spans="1:24" ht="14.4" x14ac:dyDescent="0.3">
      <c r="A72" s="3" t="s">
        <v>371</v>
      </c>
      <c r="B72" s="3" t="s">
        <v>372</v>
      </c>
      <c r="C72" s="3" t="b">
        <f>COUNTIF('IDA country list'!B$2:B$79,'WORKING VERSION'!B72) = 1</f>
        <v>0</v>
      </c>
      <c r="D72" t="s">
        <v>373</v>
      </c>
      <c r="E72" t="s">
        <v>197</v>
      </c>
      <c r="F72" s="6" t="s">
        <v>374</v>
      </c>
      <c r="G72" s="6" t="str">
        <f t="shared" si="3"/>
        <v>2026</v>
      </c>
      <c r="H72" s="43">
        <v>2026</v>
      </c>
      <c r="I72" s="6" t="b">
        <f t="shared" si="4"/>
        <v>0</v>
      </c>
      <c r="J72" s="6"/>
      <c r="K72" s="25" t="s">
        <v>43</v>
      </c>
      <c r="L72" t="s">
        <v>57</v>
      </c>
      <c r="M72" t="s">
        <v>43</v>
      </c>
      <c r="N72" t="s">
        <v>43</v>
      </c>
      <c r="O72" t="s">
        <v>221</v>
      </c>
      <c r="P72" t="s">
        <v>375</v>
      </c>
      <c r="Q72" s="29">
        <v>365000000</v>
      </c>
      <c r="R72" t="s">
        <v>376</v>
      </c>
      <c r="S72" t="s">
        <v>377</v>
      </c>
      <c r="T72" t="s">
        <v>43</v>
      </c>
      <c r="U72"/>
      <c r="V72"/>
      <c r="W72"/>
      <c r="X72"/>
    </row>
    <row r="73" spans="1:24" ht="14.4" x14ac:dyDescent="0.3">
      <c r="A73" s="3" t="s">
        <v>378</v>
      </c>
      <c r="B73" s="3" t="s">
        <v>379</v>
      </c>
      <c r="C73" s="3" t="b">
        <f>COUNTIF('IDA country list'!B$2:B$79,'WORKING VERSION'!B73) = 1</f>
        <v>0</v>
      </c>
      <c r="D73" t="s">
        <v>380</v>
      </c>
      <c r="E73" t="s">
        <v>249</v>
      </c>
      <c r="F73" s="8" t="s">
        <v>381</v>
      </c>
      <c r="G73" s="6" t="str">
        <f t="shared" si="3"/>
        <v>2025</v>
      </c>
      <c r="H73" s="43">
        <v>2025</v>
      </c>
      <c r="I73" s="6" t="b">
        <f t="shared" si="4"/>
        <v>0</v>
      </c>
      <c r="J73" s="6"/>
      <c r="K73" t="s">
        <v>43</v>
      </c>
      <c r="L73" t="s">
        <v>44</v>
      </c>
      <c r="M73" s="27" t="s">
        <v>382</v>
      </c>
      <c r="N73" t="s">
        <v>34</v>
      </c>
      <c r="O73" t="s">
        <v>383</v>
      </c>
      <c r="P73" t="s">
        <v>34</v>
      </c>
      <c r="U73"/>
      <c r="V73"/>
      <c r="W73"/>
      <c r="X73"/>
    </row>
    <row r="74" spans="1:24" ht="14.4" x14ac:dyDescent="0.3">
      <c r="A74" s="3" t="s">
        <v>384</v>
      </c>
      <c r="B74" s="3" t="s">
        <v>385</v>
      </c>
      <c r="C74" s="3" t="b">
        <f>COUNTIF('IDA country list'!B$2:B$79,'WORKING VERSION'!B74) = 1</f>
        <v>1</v>
      </c>
      <c r="D74" t="s">
        <v>65</v>
      </c>
      <c r="G74" s="6" t="str">
        <f t="shared" si="3"/>
        <v/>
      </c>
      <c r="H74" s="42"/>
      <c r="I74" s="6" t="b">
        <f t="shared" si="4"/>
        <v>1</v>
      </c>
      <c r="J74" s="6" t="b">
        <v>1</v>
      </c>
      <c r="U74"/>
      <c r="V74"/>
      <c r="W74"/>
      <c r="X74"/>
    </row>
    <row r="75" spans="1:24" ht="14.4" x14ac:dyDescent="0.3">
      <c r="A75" s="3" t="s">
        <v>386</v>
      </c>
      <c r="B75" s="3" t="s">
        <v>387</v>
      </c>
      <c r="C75" s="3" t="b">
        <f>COUNTIF('IDA country list'!B$2:B$79,'WORKING VERSION'!B75) = 1</f>
        <v>0</v>
      </c>
      <c r="D75" t="s">
        <v>65</v>
      </c>
      <c r="G75" s="6" t="str">
        <f t="shared" si="3"/>
        <v/>
      </c>
      <c r="H75" s="42"/>
      <c r="I75" s="6" t="b">
        <f t="shared" si="4"/>
        <v>1</v>
      </c>
      <c r="J75" s="6"/>
      <c r="U75"/>
      <c r="V75"/>
      <c r="W75"/>
      <c r="X75"/>
    </row>
    <row r="76" spans="1:24" ht="14.4" x14ac:dyDescent="0.3">
      <c r="A76" s="3" t="s">
        <v>388</v>
      </c>
      <c r="B76" s="3" t="s">
        <v>389</v>
      </c>
      <c r="C76" s="3" t="b">
        <f>COUNTIF('IDA country list'!B$2:B$79,'WORKING VERSION'!B76) = 1</f>
        <v>0</v>
      </c>
      <c r="D76" t="s">
        <v>390</v>
      </c>
      <c r="E76" t="s">
        <v>61</v>
      </c>
      <c r="F76" s="8" t="s">
        <v>391</v>
      </c>
      <c r="G76" s="6" t="str">
        <f t="shared" si="3"/>
        <v>2028</v>
      </c>
      <c r="H76" s="43">
        <v>2028</v>
      </c>
      <c r="I76" s="6" t="b">
        <f t="shared" si="4"/>
        <v>0</v>
      </c>
      <c r="J76" s="6"/>
      <c r="K76" t="s">
        <v>43</v>
      </c>
      <c r="L76" t="s">
        <v>57</v>
      </c>
      <c r="M76" t="s">
        <v>392</v>
      </c>
      <c r="N76" t="s">
        <v>34</v>
      </c>
      <c r="O76" t="s">
        <v>393</v>
      </c>
      <c r="T76" t="s">
        <v>34</v>
      </c>
      <c r="U76"/>
      <c r="V76"/>
      <c r="W76"/>
      <c r="X76"/>
    </row>
    <row r="77" spans="1:24" ht="14.4" x14ac:dyDescent="0.3">
      <c r="A77" s="3" t="s">
        <v>394</v>
      </c>
      <c r="B77" s="3" t="s">
        <v>395</v>
      </c>
      <c r="C77" s="3" t="b">
        <f>COUNTIF('IDA country list'!B$2:B$79,'WORKING VERSION'!B77) = 1</f>
        <v>1</v>
      </c>
      <c r="D77" t="s">
        <v>65</v>
      </c>
      <c r="G77" s="6" t="str">
        <f t="shared" si="3"/>
        <v/>
      </c>
      <c r="H77" s="42"/>
      <c r="I77" s="6" t="b">
        <f t="shared" si="4"/>
        <v>1</v>
      </c>
      <c r="J77" s="6" t="b">
        <v>1</v>
      </c>
      <c r="U77"/>
      <c r="V77"/>
      <c r="W77"/>
      <c r="X77"/>
    </row>
    <row r="78" spans="1:24" ht="14.4" x14ac:dyDescent="0.3">
      <c r="A78" s="3" t="s">
        <v>396</v>
      </c>
      <c r="B78" s="3" t="s">
        <v>397</v>
      </c>
      <c r="C78" s="3" t="b">
        <f>COUNTIF('IDA country list'!B$2:B$79,'WORKING VERSION'!B78) = 1</f>
        <v>0</v>
      </c>
      <c r="D78" t="s">
        <v>398</v>
      </c>
      <c r="E78" t="s">
        <v>399</v>
      </c>
      <c r="F78" s="8" t="s">
        <v>400</v>
      </c>
      <c r="G78" s="6" t="str">
        <f t="shared" si="3"/>
        <v>2024</v>
      </c>
      <c r="H78" s="43">
        <v>2024</v>
      </c>
      <c r="I78" s="6" t="b">
        <f t="shared" si="4"/>
        <v>1</v>
      </c>
      <c r="J78" s="6"/>
      <c r="K78" t="s">
        <v>43</v>
      </c>
      <c r="L78" t="s">
        <v>44</v>
      </c>
      <c r="M78" t="s">
        <v>34</v>
      </c>
      <c r="U78"/>
      <c r="V78"/>
      <c r="W78"/>
      <c r="X78"/>
    </row>
    <row r="79" spans="1:24" ht="14.4" x14ac:dyDescent="0.3">
      <c r="A79" s="3" t="s">
        <v>401</v>
      </c>
      <c r="B79" s="3" t="s">
        <v>402</v>
      </c>
      <c r="C79" s="3" t="b">
        <f>COUNTIF('IDA country list'!B$2:B$79,'WORKING VERSION'!B79) = 1</f>
        <v>1</v>
      </c>
      <c r="D79" t="s">
        <v>403</v>
      </c>
      <c r="E79" t="s">
        <v>404</v>
      </c>
      <c r="F79" t="s">
        <v>1000</v>
      </c>
      <c r="G79" s="6" t="str">
        <f t="shared" si="3"/>
        <v>2033</v>
      </c>
      <c r="H79" s="43">
        <v>2033</v>
      </c>
      <c r="I79" s="6" t="b">
        <f t="shared" si="4"/>
        <v>0</v>
      </c>
      <c r="J79" s="6"/>
      <c r="K79" t="s">
        <v>43</v>
      </c>
      <c r="L79" t="s">
        <v>57</v>
      </c>
      <c r="M79" t="s">
        <v>43</v>
      </c>
      <c r="N79" t="s">
        <v>43</v>
      </c>
      <c r="O79" t="s">
        <v>34</v>
      </c>
      <c r="P79" t="s">
        <v>1001</v>
      </c>
      <c r="Q79" s="61">
        <v>43912500</v>
      </c>
      <c r="R79" t="s">
        <v>1002</v>
      </c>
      <c r="S79" s="29" t="s">
        <v>1003</v>
      </c>
      <c r="T79" t="s">
        <v>34</v>
      </c>
      <c r="U79"/>
      <c r="V79"/>
      <c r="W79"/>
      <c r="X79"/>
    </row>
    <row r="80" spans="1:24" ht="14.4" x14ac:dyDescent="0.3">
      <c r="A80" s="3" t="s">
        <v>405</v>
      </c>
      <c r="B80" s="3" t="s">
        <v>406</v>
      </c>
      <c r="C80" s="3" t="b">
        <f>COUNTIF('IDA country list'!B$2:B$79,'WORKING VERSION'!B80) = 1</f>
        <v>0</v>
      </c>
      <c r="D80" t="s">
        <v>407</v>
      </c>
      <c r="E80" t="s">
        <v>209</v>
      </c>
      <c r="F80" s="8" t="s">
        <v>408</v>
      </c>
      <c r="G80" s="6" t="str">
        <f t="shared" si="3"/>
        <v>2030</v>
      </c>
      <c r="H80" s="43">
        <v>2030</v>
      </c>
      <c r="I80" s="6" t="b">
        <f t="shared" si="4"/>
        <v>0</v>
      </c>
      <c r="J80" s="6"/>
      <c r="K80" t="s">
        <v>43</v>
      </c>
      <c r="L80" t="s">
        <v>44</v>
      </c>
      <c r="M80" t="s">
        <v>34</v>
      </c>
      <c r="U80"/>
      <c r="V80"/>
      <c r="W80"/>
      <c r="X80"/>
    </row>
    <row r="81" spans="1:24" ht="14.4" x14ac:dyDescent="0.3">
      <c r="A81" s="3" t="s">
        <v>409</v>
      </c>
      <c r="B81" s="3" t="s">
        <v>410</v>
      </c>
      <c r="C81" s="3" t="b">
        <f>COUNTIF('IDA country list'!B$2:B$79,'WORKING VERSION'!B81) = 1</f>
        <v>1</v>
      </c>
      <c r="D81" t="s">
        <v>411</v>
      </c>
      <c r="E81" t="s">
        <v>412</v>
      </c>
      <c r="F81" t="s">
        <v>26</v>
      </c>
      <c r="G81" s="6" t="str">
        <f t="shared" si="3"/>
        <v>2021</v>
      </c>
      <c r="H81" s="43">
        <v>2021</v>
      </c>
      <c r="I81" s="6" t="b">
        <f t="shared" si="4"/>
        <v>1</v>
      </c>
      <c r="J81" s="6" t="b">
        <v>1</v>
      </c>
      <c r="K81" t="s">
        <v>34</v>
      </c>
      <c r="U81"/>
      <c r="V81"/>
      <c r="W81"/>
      <c r="X81"/>
    </row>
    <row r="82" spans="1:24" ht="14.4" x14ac:dyDescent="0.3">
      <c r="A82" s="3" t="s">
        <v>413</v>
      </c>
      <c r="B82" s="3" t="s">
        <v>414</v>
      </c>
      <c r="C82" s="3" t="b">
        <f>COUNTIF('IDA country list'!B$2:B$79,'WORKING VERSION'!B82) = 1</f>
        <v>0</v>
      </c>
      <c r="D82" t="s">
        <v>65</v>
      </c>
      <c r="G82" s="6" t="str">
        <f t="shared" si="3"/>
        <v/>
      </c>
      <c r="H82" s="42"/>
      <c r="I82" s="6" t="b">
        <f t="shared" si="4"/>
        <v>1</v>
      </c>
      <c r="J82" s="6"/>
      <c r="U82"/>
      <c r="V82"/>
      <c r="W82"/>
      <c r="X82"/>
    </row>
    <row r="83" spans="1:24" ht="14.4" x14ac:dyDescent="0.3">
      <c r="A83" s="3" t="s">
        <v>415</v>
      </c>
      <c r="B83" s="3" t="s">
        <v>416</v>
      </c>
      <c r="C83" s="3" t="b">
        <f>COUNTIF('IDA country list'!B$2:B$79,'WORKING VERSION'!B83) = 1</f>
        <v>0</v>
      </c>
      <c r="D83" t="s">
        <v>417</v>
      </c>
      <c r="E83" t="s">
        <v>418</v>
      </c>
      <c r="F83" s="8" t="s">
        <v>419</v>
      </c>
      <c r="G83" s="6" t="str">
        <f t="shared" si="3"/>
        <v>2024</v>
      </c>
      <c r="H83" s="43">
        <v>2024</v>
      </c>
      <c r="I83" s="6" t="b">
        <f t="shared" si="4"/>
        <v>1</v>
      </c>
      <c r="J83" s="6"/>
      <c r="K83" t="s">
        <v>43</v>
      </c>
      <c r="L83" t="s">
        <v>420</v>
      </c>
      <c r="M83" t="s">
        <v>43</v>
      </c>
      <c r="N83" t="s">
        <v>43</v>
      </c>
      <c r="O83" t="s">
        <v>421</v>
      </c>
      <c r="P83" t="s">
        <v>422</v>
      </c>
      <c r="Q83" t="s">
        <v>423</v>
      </c>
      <c r="T83" t="s">
        <v>34</v>
      </c>
      <c r="U83"/>
      <c r="V83"/>
      <c r="W83"/>
      <c r="X83"/>
    </row>
    <row r="84" spans="1:24" ht="14.4" x14ac:dyDescent="0.3">
      <c r="A84" s="3" t="s">
        <v>424</v>
      </c>
      <c r="B84" s="3" t="s">
        <v>425</v>
      </c>
      <c r="C84" s="3" t="b">
        <f>COUNTIF('IDA country list'!B$2:B$79,'WORKING VERSION'!B84) = 1</f>
        <v>0</v>
      </c>
      <c r="D84" t="s">
        <v>426</v>
      </c>
      <c r="E84" t="s">
        <v>427</v>
      </c>
      <c r="F84" s="8" t="s">
        <v>428</v>
      </c>
      <c r="G84" s="6" t="str">
        <f t="shared" si="3"/>
        <v>2024</v>
      </c>
      <c r="H84" s="43">
        <v>2024</v>
      </c>
      <c r="I84" s="6" t="b">
        <f t="shared" si="4"/>
        <v>1</v>
      </c>
      <c r="J84" s="6"/>
      <c r="K84" t="s">
        <v>43</v>
      </c>
      <c r="L84" t="s">
        <v>44</v>
      </c>
      <c r="M84" t="s">
        <v>34</v>
      </c>
      <c r="U84"/>
      <c r="V84"/>
      <c r="W84"/>
      <c r="X84"/>
    </row>
    <row r="85" spans="1:24" ht="14.4" x14ac:dyDescent="0.3">
      <c r="A85" s="3" t="s">
        <v>429</v>
      </c>
      <c r="B85" s="3" t="s">
        <v>430</v>
      </c>
      <c r="C85" s="3" t="b">
        <f>COUNTIF('IDA country list'!B$2:B$79,'WORKING VERSION'!B85) = 1</f>
        <v>0</v>
      </c>
      <c r="D85" t="s">
        <v>431</v>
      </c>
      <c r="E85" t="s">
        <v>99</v>
      </c>
      <c r="F85" s="8" t="s">
        <v>432</v>
      </c>
      <c r="G85" s="6" t="str">
        <f t="shared" si="3"/>
        <v>2023</v>
      </c>
      <c r="H85" s="43">
        <v>2023</v>
      </c>
      <c r="I85" s="6" t="b">
        <f t="shared" si="4"/>
        <v>1</v>
      </c>
      <c r="J85" s="6"/>
      <c r="K85" t="s">
        <v>43</v>
      </c>
      <c r="L85" t="s">
        <v>44</v>
      </c>
      <c r="M85" t="s">
        <v>34</v>
      </c>
      <c r="U85"/>
      <c r="V85"/>
      <c r="W85"/>
      <c r="X85"/>
    </row>
    <row r="86" spans="1:24" ht="14.4" x14ac:dyDescent="0.3">
      <c r="A86" s="3" t="s">
        <v>433</v>
      </c>
      <c r="B86" s="3" t="s">
        <v>434</v>
      </c>
      <c r="C86" s="3" t="b">
        <f>COUNTIF('IDA country list'!B$2:B$79,'WORKING VERSION'!B86) = 1</f>
        <v>0</v>
      </c>
      <c r="D86" t="s">
        <v>65</v>
      </c>
      <c r="G86" s="6" t="str">
        <f t="shared" si="3"/>
        <v/>
      </c>
      <c r="H86" s="42"/>
      <c r="I86" s="6" t="b">
        <f t="shared" si="4"/>
        <v>1</v>
      </c>
      <c r="J86" s="6"/>
      <c r="U86"/>
      <c r="V86"/>
      <c r="W86"/>
      <c r="X86"/>
    </row>
    <row r="87" spans="1:24" ht="14.4" x14ac:dyDescent="0.3">
      <c r="A87" s="3" t="s">
        <v>435</v>
      </c>
      <c r="B87" s="3" t="s">
        <v>436</v>
      </c>
      <c r="C87" s="3" t="b">
        <f>COUNTIF('IDA country list'!B$2:B$79,'WORKING VERSION'!B87) = 1</f>
        <v>0</v>
      </c>
      <c r="D87" t="s">
        <v>437</v>
      </c>
      <c r="E87" t="s">
        <v>438</v>
      </c>
      <c r="F87" s="8" t="s">
        <v>439</v>
      </c>
      <c r="G87" s="6" t="str">
        <f t="shared" si="3"/>
        <v>2014</v>
      </c>
      <c r="H87" s="43">
        <v>2014</v>
      </c>
      <c r="I87" s="6" t="b">
        <f t="shared" si="4"/>
        <v>1</v>
      </c>
      <c r="J87" s="6"/>
      <c r="K87" t="s">
        <v>43</v>
      </c>
      <c r="L87" t="s">
        <v>440</v>
      </c>
      <c r="M87" t="s">
        <v>34</v>
      </c>
      <c r="U87"/>
      <c r="V87"/>
      <c r="W87"/>
      <c r="X87"/>
    </row>
    <row r="88" spans="1:24" ht="14.4" x14ac:dyDescent="0.3">
      <c r="A88" s="3" t="s">
        <v>441</v>
      </c>
      <c r="B88" s="3" t="s">
        <v>442</v>
      </c>
      <c r="C88" s="3" t="b">
        <f>COUNTIF('IDA country list'!B$2:B$79,'WORKING VERSION'!B88) = 1</f>
        <v>0</v>
      </c>
      <c r="D88" t="s">
        <v>65</v>
      </c>
      <c r="G88" s="6" t="str">
        <f t="shared" si="3"/>
        <v/>
      </c>
      <c r="H88" s="42"/>
      <c r="I88" s="6" t="b">
        <f t="shared" si="4"/>
        <v>1</v>
      </c>
      <c r="J88" s="6"/>
      <c r="U88"/>
      <c r="V88"/>
      <c r="W88"/>
      <c r="X88"/>
    </row>
    <row r="89" spans="1:24" ht="14.4" x14ac:dyDescent="0.3">
      <c r="A89" s="3" t="s">
        <v>443</v>
      </c>
      <c r="B89" s="3" t="s">
        <v>444</v>
      </c>
      <c r="C89" s="3" t="b">
        <f>COUNTIF('IDA country list'!B$2:B$79,'WORKING VERSION'!B89) = 1</f>
        <v>0</v>
      </c>
      <c r="D89" t="s">
        <v>65</v>
      </c>
      <c r="G89" s="6" t="str">
        <f t="shared" si="3"/>
        <v/>
      </c>
      <c r="H89" s="42"/>
      <c r="I89" s="6" t="b">
        <f t="shared" si="4"/>
        <v>1</v>
      </c>
      <c r="J89" s="6"/>
      <c r="U89"/>
      <c r="V89"/>
      <c r="W89"/>
      <c r="X89"/>
    </row>
    <row r="90" spans="1:24" ht="14.4" x14ac:dyDescent="0.3">
      <c r="A90" s="3" t="s">
        <v>445</v>
      </c>
      <c r="B90" s="3" t="s">
        <v>446</v>
      </c>
      <c r="C90" s="3" t="b">
        <f>COUNTIF('IDA country list'!B$2:B$79,'WORKING VERSION'!B90) = 1</f>
        <v>0</v>
      </c>
      <c r="D90" t="s">
        <v>65</v>
      </c>
      <c r="G90" s="6" t="str">
        <f t="shared" si="3"/>
        <v/>
      </c>
      <c r="H90" s="42"/>
      <c r="I90" s="6" t="b">
        <f t="shared" si="4"/>
        <v>1</v>
      </c>
      <c r="J90" s="6"/>
      <c r="U90"/>
      <c r="V90"/>
      <c r="W90"/>
      <c r="X90"/>
    </row>
    <row r="91" spans="1:24" ht="14.4" x14ac:dyDescent="0.3">
      <c r="A91" s="3" t="s">
        <v>447</v>
      </c>
      <c r="B91" s="3" t="s">
        <v>448</v>
      </c>
      <c r="C91" s="3" t="b">
        <f>COUNTIF('IDA country list'!B$2:B$79,'WORKING VERSION'!B91) = 1</f>
        <v>0</v>
      </c>
      <c r="D91" t="s">
        <v>26</v>
      </c>
      <c r="G91" s="6" t="str">
        <f t="shared" si="3"/>
        <v/>
      </c>
      <c r="H91" s="42"/>
      <c r="I91" s="6" t="b">
        <f t="shared" si="4"/>
        <v>1</v>
      </c>
      <c r="J91" s="6"/>
      <c r="U91"/>
      <c r="V91"/>
      <c r="W91"/>
      <c r="X91"/>
    </row>
    <row r="92" spans="1:24" ht="14.4" x14ac:dyDescent="0.3">
      <c r="A92" s="3" t="s">
        <v>449</v>
      </c>
      <c r="B92" s="3" t="s">
        <v>450</v>
      </c>
      <c r="C92" s="3" t="b">
        <f>COUNTIF('IDA country list'!B$2:B$79,'WORKING VERSION'!B92) = 1</f>
        <v>0</v>
      </c>
      <c r="D92" t="s">
        <v>451</v>
      </c>
      <c r="E92" t="s">
        <v>344</v>
      </c>
      <c r="F92" s="6" t="s">
        <v>452</v>
      </c>
      <c r="G92" s="6" t="str">
        <f t="shared" ref="G92:G123" si="5">RIGHT(E92,4)</f>
        <v>2022</v>
      </c>
      <c r="H92" s="43">
        <v>2022</v>
      </c>
      <c r="I92" s="6" t="b">
        <f t="shared" si="4"/>
        <v>1</v>
      </c>
      <c r="J92" s="6"/>
      <c r="K92" t="s">
        <v>43</v>
      </c>
      <c r="L92" t="s">
        <v>44</v>
      </c>
      <c r="M92" t="s">
        <v>43</v>
      </c>
      <c r="N92" t="s">
        <v>34</v>
      </c>
      <c r="O92" t="s">
        <v>346</v>
      </c>
      <c r="T92" t="s">
        <v>453</v>
      </c>
      <c r="U92"/>
      <c r="V92"/>
      <c r="W92"/>
      <c r="X92"/>
    </row>
    <row r="93" spans="1:24" ht="14.4" x14ac:dyDescent="0.3">
      <c r="A93" s="3" t="s">
        <v>454</v>
      </c>
      <c r="B93" s="3" t="s">
        <v>455</v>
      </c>
      <c r="C93" s="3" t="b">
        <f>COUNTIF('IDA country list'!B$2:B$79,'WORKING VERSION'!B93) = 1</f>
        <v>0</v>
      </c>
      <c r="D93" t="s">
        <v>65</v>
      </c>
      <c r="G93" s="6" t="str">
        <f t="shared" si="5"/>
        <v/>
      </c>
      <c r="H93" s="42"/>
      <c r="I93" s="6" t="b">
        <f t="shared" si="4"/>
        <v>1</v>
      </c>
      <c r="J93" s="6"/>
      <c r="U93"/>
      <c r="V93"/>
      <c r="W93"/>
      <c r="X93"/>
    </row>
    <row r="94" spans="1:24" ht="14.4" x14ac:dyDescent="0.3">
      <c r="A94" s="3" t="s">
        <v>456</v>
      </c>
      <c r="B94" s="3" t="s">
        <v>457</v>
      </c>
      <c r="C94" s="3" t="b">
        <f>COUNTIF('IDA country list'!B$2:B$79,'WORKING VERSION'!B94) = 1</f>
        <v>0</v>
      </c>
      <c r="D94" t="s">
        <v>65</v>
      </c>
      <c r="G94" s="6" t="str">
        <f t="shared" si="5"/>
        <v/>
      </c>
      <c r="H94" s="42"/>
      <c r="I94" s="6" t="b">
        <f t="shared" si="4"/>
        <v>1</v>
      </c>
      <c r="J94" s="6"/>
      <c r="U94"/>
      <c r="V94"/>
      <c r="W94"/>
      <c r="X94"/>
    </row>
    <row r="95" spans="1:24" ht="14.4" x14ac:dyDescent="0.3">
      <c r="A95" s="3" t="s">
        <v>458</v>
      </c>
      <c r="B95" s="3" t="s">
        <v>459</v>
      </c>
      <c r="C95" s="3" t="b">
        <f>COUNTIF('IDA country list'!B$2:B$79,'WORKING VERSION'!B95) = 1</f>
        <v>1</v>
      </c>
      <c r="D95" t="s">
        <v>460</v>
      </c>
      <c r="E95" t="s">
        <v>227</v>
      </c>
      <c r="F95" s="8" t="s">
        <v>461</v>
      </c>
      <c r="G95" s="6" t="str">
        <f t="shared" si="5"/>
        <v>2027</v>
      </c>
      <c r="H95" s="43">
        <v>2027</v>
      </c>
      <c r="I95" s="6" t="b">
        <f t="shared" si="4"/>
        <v>0</v>
      </c>
      <c r="J95" s="6"/>
      <c r="K95" t="s">
        <v>43</v>
      </c>
      <c r="L95" t="s">
        <v>44</v>
      </c>
      <c r="M95" t="s">
        <v>43</v>
      </c>
      <c r="N95" t="s">
        <v>43</v>
      </c>
      <c r="O95" t="s">
        <v>462</v>
      </c>
      <c r="P95" t="s">
        <v>463</v>
      </c>
      <c r="Q95" s="29">
        <v>690000000</v>
      </c>
      <c r="R95" t="s">
        <v>464</v>
      </c>
      <c r="S95" t="s">
        <v>465</v>
      </c>
      <c r="T95" t="s">
        <v>34</v>
      </c>
      <c r="U95"/>
      <c r="V95"/>
      <c r="W95"/>
      <c r="X95"/>
    </row>
    <row r="96" spans="1:24" ht="14.4" x14ac:dyDescent="0.3">
      <c r="A96" s="57" t="s">
        <v>458</v>
      </c>
      <c r="B96" s="3" t="s">
        <v>459</v>
      </c>
      <c r="C96" s="3" t="b">
        <f>COUNTIF('IDA country list'!B$2:B$79,'WORKING VERSION'!B96) = 1</f>
        <v>1</v>
      </c>
      <c r="D96" t="s">
        <v>466</v>
      </c>
      <c r="E96" t="s">
        <v>227</v>
      </c>
      <c r="F96" s="8" t="s">
        <v>461</v>
      </c>
      <c r="G96" s="6" t="str">
        <f t="shared" si="5"/>
        <v>2027</v>
      </c>
      <c r="H96" s="43">
        <v>2027</v>
      </c>
      <c r="I96" s="6" t="b">
        <f t="shared" si="4"/>
        <v>0</v>
      </c>
      <c r="J96" s="58" t="b">
        <v>1</v>
      </c>
      <c r="K96" t="s">
        <v>43</v>
      </c>
      <c r="L96" t="s">
        <v>44</v>
      </c>
      <c r="M96" t="s">
        <v>43</v>
      </c>
      <c r="N96" t="s">
        <v>43</v>
      </c>
      <c r="O96" t="s">
        <v>467</v>
      </c>
      <c r="P96" t="s">
        <v>468</v>
      </c>
      <c r="Q96" s="56">
        <v>5750000222700000</v>
      </c>
      <c r="R96" t="s">
        <v>464</v>
      </c>
      <c r="S96" s="27"/>
      <c r="U96"/>
      <c r="V96"/>
      <c r="W96"/>
      <c r="X96"/>
    </row>
    <row r="97" spans="1:24" ht="14.4" x14ac:dyDescent="0.3">
      <c r="A97" s="3" t="s">
        <v>469</v>
      </c>
      <c r="B97" s="3" t="s">
        <v>470</v>
      </c>
      <c r="C97" s="3" t="b">
        <f>COUNTIF('IDA country list'!B$2:B$79,'WORKING VERSION'!B97) = 1</f>
        <v>1</v>
      </c>
      <c r="D97" t="s">
        <v>471</v>
      </c>
      <c r="E97" t="s">
        <v>197</v>
      </c>
      <c r="F97" s="6" t="s">
        <v>472</v>
      </c>
      <c r="G97" s="6" t="str">
        <f t="shared" si="5"/>
        <v>2026</v>
      </c>
      <c r="H97" s="43">
        <v>2026</v>
      </c>
      <c r="I97" s="6" t="b">
        <f t="shared" si="4"/>
        <v>0</v>
      </c>
      <c r="J97" s="6"/>
      <c r="K97" t="s">
        <v>43</v>
      </c>
      <c r="L97" t="s">
        <v>44</v>
      </c>
      <c r="M97" t="s">
        <v>34</v>
      </c>
      <c r="T97" t="s">
        <v>43</v>
      </c>
      <c r="U97"/>
      <c r="V97"/>
      <c r="W97"/>
      <c r="X97"/>
    </row>
    <row r="98" spans="1:24" ht="14.4" x14ac:dyDescent="0.3">
      <c r="A98" s="3" t="s">
        <v>473</v>
      </c>
      <c r="B98" s="3" t="s">
        <v>474</v>
      </c>
      <c r="C98" s="3" t="b">
        <f>COUNTIF('IDA country list'!B$2:B$79,'WORKING VERSION'!B98) = 1</f>
        <v>1</v>
      </c>
      <c r="D98" t="s">
        <v>475</v>
      </c>
      <c r="E98" t="s">
        <v>131</v>
      </c>
      <c r="F98" s="8" t="s">
        <v>476</v>
      </c>
      <c r="G98" s="6" t="str">
        <f t="shared" si="5"/>
        <v>2023</v>
      </c>
      <c r="H98" s="43">
        <v>2023</v>
      </c>
      <c r="I98" s="6" t="b">
        <f t="shared" si="4"/>
        <v>1</v>
      </c>
      <c r="J98" s="6" t="b">
        <v>1</v>
      </c>
      <c r="K98" t="s">
        <v>43</v>
      </c>
      <c r="L98" t="s">
        <v>44</v>
      </c>
      <c r="M98" t="s">
        <v>43</v>
      </c>
      <c r="N98" t="s">
        <v>43</v>
      </c>
      <c r="O98" t="s">
        <v>462</v>
      </c>
      <c r="P98" t="s">
        <v>477</v>
      </c>
      <c r="Q98" s="29">
        <v>30000</v>
      </c>
      <c r="R98" t="s">
        <v>266</v>
      </c>
      <c r="S98" s="27" t="s">
        <v>478</v>
      </c>
      <c r="T98" t="s">
        <v>34</v>
      </c>
      <c r="U98"/>
      <c r="V98"/>
      <c r="W98"/>
      <c r="X98"/>
    </row>
    <row r="99" spans="1:24" ht="14.4" x14ac:dyDescent="0.3">
      <c r="A99" s="3" t="s">
        <v>479</v>
      </c>
      <c r="B99" s="3" t="s">
        <v>480</v>
      </c>
      <c r="C99" s="3" t="b">
        <f>COUNTIF('IDA country list'!B$2:B$79,'WORKING VERSION'!B99) = 1</f>
        <v>1</v>
      </c>
      <c r="D99" t="s">
        <v>1006</v>
      </c>
      <c r="E99" t="s">
        <v>1005</v>
      </c>
      <c r="F99" t="s">
        <v>1004</v>
      </c>
      <c r="G99" s="6" t="str">
        <f t="shared" si="5"/>
        <v>2030</v>
      </c>
      <c r="H99" s="42">
        <v>2030</v>
      </c>
      <c r="I99" s="6" t="b">
        <f t="shared" si="4"/>
        <v>0</v>
      </c>
      <c r="J99" s="58" t="b">
        <v>1</v>
      </c>
      <c r="K99" t="s">
        <v>34</v>
      </c>
      <c r="L99" t="s">
        <v>44</v>
      </c>
      <c r="M99" t="s">
        <v>34</v>
      </c>
      <c r="N99" t="s">
        <v>34</v>
      </c>
      <c r="U99"/>
      <c r="V99"/>
      <c r="W99"/>
      <c r="X99"/>
    </row>
    <row r="100" spans="1:24" ht="14.4" x14ac:dyDescent="0.3">
      <c r="A100" s="3" t="s">
        <v>481</v>
      </c>
      <c r="B100" s="3" t="s">
        <v>482</v>
      </c>
      <c r="C100" s="3" t="b">
        <f>COUNTIF('IDA country list'!B$2:B$79,'WORKING VERSION'!B100) = 1</f>
        <v>0</v>
      </c>
      <c r="D100" t="s">
        <v>65</v>
      </c>
      <c r="G100" s="6" t="str">
        <f t="shared" si="5"/>
        <v/>
      </c>
      <c r="H100" s="42"/>
      <c r="I100" s="6" t="b">
        <f t="shared" si="4"/>
        <v>1</v>
      </c>
      <c r="J100" s="6"/>
      <c r="U100"/>
      <c r="V100"/>
      <c r="W100"/>
      <c r="X100"/>
    </row>
    <row r="101" spans="1:24" ht="14.4" x14ac:dyDescent="0.3">
      <c r="A101" s="3" t="s">
        <v>483</v>
      </c>
      <c r="B101" s="3" t="s">
        <v>484</v>
      </c>
      <c r="C101" s="3" t="b">
        <f>COUNTIF('IDA country list'!B$2:B$79,'WORKING VERSION'!B101) = 1</f>
        <v>0</v>
      </c>
      <c r="D101" t="s">
        <v>65</v>
      </c>
      <c r="G101" s="6" t="str">
        <f t="shared" si="5"/>
        <v/>
      </c>
      <c r="H101" s="42"/>
      <c r="I101" s="6" t="b">
        <f t="shared" si="4"/>
        <v>1</v>
      </c>
      <c r="J101" s="6"/>
      <c r="U101"/>
      <c r="V101"/>
      <c r="W101"/>
      <c r="X101"/>
    </row>
    <row r="102" spans="1:24" ht="14.4" x14ac:dyDescent="0.3">
      <c r="A102" s="3" t="s">
        <v>485</v>
      </c>
      <c r="B102" s="3" t="s">
        <v>486</v>
      </c>
      <c r="C102" s="3" t="b">
        <f>COUNTIF('IDA country list'!B$2:B$79,'WORKING VERSION'!B102) = 1</f>
        <v>0</v>
      </c>
      <c r="D102" t="s">
        <v>487</v>
      </c>
      <c r="E102" t="s">
        <v>488</v>
      </c>
      <c r="F102" s="8" t="s">
        <v>489</v>
      </c>
      <c r="G102" s="6" t="str">
        <f t="shared" si="5"/>
        <v>fied</v>
      </c>
      <c r="H102" s="42"/>
      <c r="I102" s="6" t="b">
        <f t="shared" si="4"/>
        <v>1</v>
      </c>
      <c r="J102" s="6"/>
      <c r="K102" t="s">
        <v>43</v>
      </c>
      <c r="L102" t="s">
        <v>490</v>
      </c>
      <c r="M102" t="s">
        <v>34</v>
      </c>
      <c r="U102"/>
      <c r="V102"/>
      <c r="W102"/>
      <c r="X102"/>
    </row>
    <row r="103" spans="1:24" ht="14.4" x14ac:dyDescent="0.3">
      <c r="A103" s="57" t="s">
        <v>491</v>
      </c>
      <c r="B103" s="3" t="s">
        <v>492</v>
      </c>
      <c r="C103" s="3" t="b">
        <f>COUNTIF('IDA country list'!B$2:B$79,'WORKING VERSION'!B103) = 1</f>
        <v>1</v>
      </c>
      <c r="D103" t="s">
        <v>493</v>
      </c>
      <c r="E103" t="s">
        <v>320</v>
      </c>
      <c r="F103" s="6" t="s">
        <v>494</v>
      </c>
      <c r="G103" s="6" t="str">
        <f t="shared" si="5"/>
        <v>2025</v>
      </c>
      <c r="H103" s="43">
        <v>2025</v>
      </c>
      <c r="I103" s="6" t="b">
        <f t="shared" si="4"/>
        <v>0</v>
      </c>
      <c r="J103" s="58" t="b">
        <v>1</v>
      </c>
      <c r="K103" t="s">
        <v>43</v>
      </c>
      <c r="L103" t="s">
        <v>44</v>
      </c>
      <c r="M103" t="s">
        <v>495</v>
      </c>
      <c r="N103" t="s">
        <v>34</v>
      </c>
      <c r="P103" t="s">
        <v>34</v>
      </c>
      <c r="U103"/>
      <c r="V103"/>
      <c r="W103"/>
      <c r="X103"/>
    </row>
    <row r="104" spans="1:24" ht="14.4" x14ac:dyDescent="0.3">
      <c r="A104" s="3" t="s">
        <v>496</v>
      </c>
      <c r="B104" s="3" t="s">
        <v>497</v>
      </c>
      <c r="C104" s="3" t="b">
        <f>COUNTIF('IDA country list'!B$2:B$79,'WORKING VERSION'!B104) = 1</f>
        <v>0</v>
      </c>
      <c r="D104" t="s">
        <v>65</v>
      </c>
      <c r="G104" s="6" t="str">
        <f t="shared" si="5"/>
        <v/>
      </c>
      <c r="H104" s="42"/>
      <c r="I104" s="6" t="b">
        <f t="shared" si="4"/>
        <v>1</v>
      </c>
      <c r="J104" s="6"/>
      <c r="U104"/>
      <c r="V104"/>
      <c r="W104"/>
      <c r="X104"/>
    </row>
    <row r="105" spans="1:24" ht="14.4" x14ac:dyDescent="0.3">
      <c r="A105" s="3" t="s">
        <v>498</v>
      </c>
      <c r="B105" s="3" t="s">
        <v>499</v>
      </c>
      <c r="C105" s="3" t="b">
        <f>COUNTIF('IDA country list'!B$2:B$79,'WORKING VERSION'!B105) = 1</f>
        <v>1</v>
      </c>
      <c r="D105" t="s">
        <v>500</v>
      </c>
      <c r="E105" t="s">
        <v>344</v>
      </c>
      <c r="F105" s="25" t="s">
        <v>26</v>
      </c>
      <c r="G105" s="6" t="str">
        <f t="shared" si="5"/>
        <v>2022</v>
      </c>
      <c r="H105" s="43">
        <v>2022</v>
      </c>
      <c r="I105" s="6" t="b">
        <f t="shared" si="4"/>
        <v>1</v>
      </c>
      <c r="J105" s="6" t="b">
        <v>1</v>
      </c>
      <c r="K105" s="25" t="s">
        <v>34</v>
      </c>
      <c r="U105"/>
      <c r="V105"/>
      <c r="W105"/>
      <c r="X105"/>
    </row>
    <row r="106" spans="1:24" ht="14.4" x14ac:dyDescent="0.3">
      <c r="A106" s="3" t="s">
        <v>501</v>
      </c>
      <c r="B106" s="3" t="s">
        <v>502</v>
      </c>
      <c r="C106" s="3" t="b">
        <f>COUNTIF('IDA country list'!B$2:B$79,'WORKING VERSION'!B106) = 1</f>
        <v>0</v>
      </c>
      <c r="D106" t="s">
        <v>503</v>
      </c>
      <c r="E106" t="s">
        <v>504</v>
      </c>
      <c r="F106" s="8" t="s">
        <v>505</v>
      </c>
      <c r="G106" s="6" t="str">
        <f t="shared" si="5"/>
        <v>2023</v>
      </c>
      <c r="H106" s="43">
        <v>2023</v>
      </c>
      <c r="I106" s="6" t="b">
        <f t="shared" si="4"/>
        <v>1</v>
      </c>
      <c r="J106" s="6"/>
      <c r="K106" t="s">
        <v>43</v>
      </c>
      <c r="L106" t="s">
        <v>44</v>
      </c>
      <c r="M106" t="s">
        <v>43</v>
      </c>
      <c r="N106" t="s">
        <v>34</v>
      </c>
      <c r="O106" t="s">
        <v>506</v>
      </c>
      <c r="P106" t="s">
        <v>34</v>
      </c>
      <c r="T106" t="s">
        <v>34</v>
      </c>
      <c r="U106"/>
      <c r="V106"/>
      <c r="W106"/>
      <c r="X106"/>
    </row>
    <row r="107" spans="1:24" ht="14.4" x14ac:dyDescent="0.3">
      <c r="A107" s="3" t="s">
        <v>507</v>
      </c>
      <c r="B107" s="3" t="s">
        <v>508</v>
      </c>
      <c r="C107" s="3" t="b">
        <f>COUNTIF('IDA country list'!B$2:B$79,'WORKING VERSION'!B107) = 1</f>
        <v>1</v>
      </c>
      <c r="D107" s="33" t="s">
        <v>509</v>
      </c>
      <c r="E107" t="s">
        <v>197</v>
      </c>
      <c r="F107" s="31" t="s">
        <v>510</v>
      </c>
      <c r="G107" s="6" t="str">
        <f t="shared" si="5"/>
        <v>2026</v>
      </c>
      <c r="H107" s="43">
        <v>2026</v>
      </c>
      <c r="I107" s="6" t="b">
        <f t="shared" si="4"/>
        <v>0</v>
      </c>
      <c r="J107" s="6"/>
      <c r="K107" t="s">
        <v>43</v>
      </c>
      <c r="L107" t="s">
        <v>44</v>
      </c>
      <c r="M107" t="s">
        <v>34</v>
      </c>
      <c r="U107"/>
      <c r="V107"/>
      <c r="W107"/>
      <c r="X107"/>
    </row>
    <row r="108" spans="1:24" ht="14.4" x14ac:dyDescent="0.3">
      <c r="A108" s="3" t="s">
        <v>511</v>
      </c>
      <c r="B108" s="3" t="s">
        <v>512</v>
      </c>
      <c r="C108" s="3" t="b">
        <f>COUNTIF('IDA country list'!B$2:B$79,'WORKING VERSION'!B108) = 1</f>
        <v>0</v>
      </c>
      <c r="D108" t="s">
        <v>65</v>
      </c>
      <c r="G108" s="6" t="str">
        <f t="shared" si="5"/>
        <v/>
      </c>
      <c r="H108" s="42"/>
      <c r="I108" s="6" t="b">
        <f t="shared" si="4"/>
        <v>1</v>
      </c>
      <c r="J108" s="6"/>
      <c r="U108"/>
      <c r="V108"/>
      <c r="W108"/>
      <c r="X108"/>
    </row>
    <row r="109" spans="1:24" ht="14.4" x14ac:dyDescent="0.3">
      <c r="A109" s="3" t="s">
        <v>513</v>
      </c>
      <c r="B109" s="3" t="s">
        <v>514</v>
      </c>
      <c r="C109" s="3" t="b">
        <f>COUNTIF('IDA country list'!B$2:B$79,'WORKING VERSION'!B109) = 1</f>
        <v>1</v>
      </c>
      <c r="D109" t="s">
        <v>65</v>
      </c>
      <c r="G109" s="6" t="str">
        <f t="shared" si="5"/>
        <v/>
      </c>
      <c r="H109" s="42"/>
      <c r="I109" s="6" t="b">
        <f t="shared" si="4"/>
        <v>1</v>
      </c>
      <c r="J109" s="6" t="b">
        <v>1</v>
      </c>
      <c r="U109"/>
      <c r="V109"/>
      <c r="W109"/>
      <c r="X109"/>
    </row>
    <row r="110" spans="1:24" ht="14.4" x14ac:dyDescent="0.3">
      <c r="A110" s="3" t="s">
        <v>515</v>
      </c>
      <c r="B110" s="3" t="s">
        <v>516</v>
      </c>
      <c r="C110" s="3" t="b">
        <f>COUNTIF('IDA country list'!B$2:B$79,'WORKING VERSION'!B110) = 1</f>
        <v>1</v>
      </c>
      <c r="D110" t="s">
        <v>517</v>
      </c>
      <c r="E110" t="s">
        <v>518</v>
      </c>
      <c r="F110" s="6" t="s">
        <v>519</v>
      </c>
      <c r="G110" s="6" t="str">
        <f t="shared" si="5"/>
        <v>2027</v>
      </c>
      <c r="H110" s="43">
        <v>2027</v>
      </c>
      <c r="I110" s="6" t="b">
        <f t="shared" si="4"/>
        <v>0</v>
      </c>
      <c r="J110" s="6"/>
      <c r="K110" t="s">
        <v>43</v>
      </c>
      <c r="L110" t="s">
        <v>44</v>
      </c>
      <c r="M110" t="s">
        <v>43</v>
      </c>
      <c r="N110" t="s">
        <v>43</v>
      </c>
      <c r="O110" t="s">
        <v>221</v>
      </c>
      <c r="P110" t="s">
        <v>520</v>
      </c>
      <c r="Q110" s="29">
        <v>15356530</v>
      </c>
      <c r="R110" t="s">
        <v>521</v>
      </c>
      <c r="S110" t="s">
        <v>522</v>
      </c>
      <c r="T110" t="s">
        <v>43</v>
      </c>
      <c r="U110"/>
      <c r="V110"/>
      <c r="W110"/>
      <c r="X110"/>
    </row>
    <row r="111" spans="1:24" ht="14.4" x14ac:dyDescent="0.3">
      <c r="A111" s="3" t="s">
        <v>523</v>
      </c>
      <c r="B111" s="3" t="s">
        <v>524</v>
      </c>
      <c r="C111" s="3" t="b">
        <f>COUNTIF('IDA country list'!B$2:B$79,'WORKING VERSION'!B111) = 1</f>
        <v>0</v>
      </c>
      <c r="D111" t="s">
        <v>525</v>
      </c>
      <c r="E111" t="s">
        <v>249</v>
      </c>
      <c r="F111" s="8" t="s">
        <v>526</v>
      </c>
      <c r="G111" s="6" t="str">
        <f t="shared" si="5"/>
        <v>2025</v>
      </c>
      <c r="H111" s="43">
        <v>2025</v>
      </c>
      <c r="I111" s="6" t="b">
        <f t="shared" si="4"/>
        <v>0</v>
      </c>
      <c r="J111" s="6"/>
      <c r="K111" t="s">
        <v>43</v>
      </c>
      <c r="L111" t="s">
        <v>527</v>
      </c>
      <c r="M111" t="s">
        <v>43</v>
      </c>
      <c r="N111" t="s">
        <v>34</v>
      </c>
      <c r="O111" t="s">
        <v>528</v>
      </c>
      <c r="T111" t="s">
        <v>34</v>
      </c>
      <c r="U111"/>
      <c r="V111"/>
      <c r="W111"/>
      <c r="X111"/>
    </row>
    <row r="112" spans="1:24" ht="14.4" x14ac:dyDescent="0.3">
      <c r="A112" s="3" t="s">
        <v>529</v>
      </c>
      <c r="B112" s="3" t="s">
        <v>530</v>
      </c>
      <c r="C112" s="3" t="b">
        <f>COUNTIF('IDA country list'!B$2:B$79,'WORKING VERSION'!B112) = 1</f>
        <v>0</v>
      </c>
      <c r="D112" t="s">
        <v>531</v>
      </c>
      <c r="E112" t="s">
        <v>532</v>
      </c>
      <c r="F112" s="8" t="s">
        <v>533</v>
      </c>
      <c r="G112" s="6" t="str">
        <f t="shared" si="5"/>
        <v>lear</v>
      </c>
      <c r="H112" s="42"/>
      <c r="I112" s="6" t="b">
        <f t="shared" si="4"/>
        <v>1</v>
      </c>
      <c r="J112" s="6"/>
      <c r="K112" t="s">
        <v>43</v>
      </c>
      <c r="L112" t="s">
        <v>44</v>
      </c>
      <c r="M112" t="s">
        <v>34</v>
      </c>
      <c r="U112"/>
      <c r="V112"/>
      <c r="W112"/>
      <c r="X112"/>
    </row>
    <row r="113" spans="1:24" ht="14.4" x14ac:dyDescent="0.3">
      <c r="A113" s="3" t="s">
        <v>534</v>
      </c>
      <c r="B113" s="3" t="s">
        <v>535</v>
      </c>
      <c r="C113" s="3" t="b">
        <f>COUNTIF('IDA country list'!B$2:B$79,'WORKING VERSION'!B113) = 1</f>
        <v>0</v>
      </c>
      <c r="D113" t="s">
        <v>536</v>
      </c>
      <c r="E113" t="s">
        <v>537</v>
      </c>
      <c r="F113" s="8" t="s">
        <v>538</v>
      </c>
      <c r="G113" s="6" t="str">
        <f t="shared" si="5"/>
        <v>2029</v>
      </c>
      <c r="H113" s="43">
        <v>2029</v>
      </c>
      <c r="I113" s="6" t="b">
        <f t="shared" si="4"/>
        <v>0</v>
      </c>
      <c r="J113" s="6"/>
      <c r="K113" t="s">
        <v>43</v>
      </c>
      <c r="L113" t="s">
        <v>539</v>
      </c>
      <c r="M113" t="s">
        <v>34</v>
      </c>
      <c r="U113"/>
      <c r="V113"/>
      <c r="W113"/>
      <c r="X113"/>
    </row>
    <row r="114" spans="1:24" ht="14.4" x14ac:dyDescent="0.3">
      <c r="A114" s="3" t="s">
        <v>540</v>
      </c>
      <c r="B114" s="3" t="s">
        <v>541</v>
      </c>
      <c r="C114" s="3" t="b">
        <f>COUNTIF('IDA country list'!B$2:B$79,'WORKING VERSION'!B114) = 1</f>
        <v>0</v>
      </c>
      <c r="D114" t="s">
        <v>65</v>
      </c>
      <c r="G114" s="6" t="str">
        <f t="shared" si="5"/>
        <v/>
      </c>
      <c r="H114" s="42"/>
      <c r="I114" s="6" t="b">
        <f t="shared" si="4"/>
        <v>1</v>
      </c>
      <c r="J114" s="6"/>
      <c r="U114"/>
      <c r="V114"/>
      <c r="W114"/>
      <c r="X114"/>
    </row>
    <row r="115" spans="1:24" ht="14.4" x14ac:dyDescent="0.3">
      <c r="A115" s="3" t="s">
        <v>542</v>
      </c>
      <c r="B115" s="3" t="s">
        <v>543</v>
      </c>
      <c r="C115" s="3" t="b">
        <f>COUNTIF('IDA country list'!B$2:B$79,'WORKING VERSION'!B115) = 1</f>
        <v>0</v>
      </c>
      <c r="D115" t="s">
        <v>544</v>
      </c>
      <c r="E115" t="s">
        <v>488</v>
      </c>
      <c r="F115" s="25" t="s">
        <v>26</v>
      </c>
      <c r="G115" s="6" t="str">
        <f t="shared" si="5"/>
        <v>fied</v>
      </c>
      <c r="H115" s="42"/>
      <c r="I115" s="6" t="b">
        <f t="shared" si="4"/>
        <v>1</v>
      </c>
      <c r="J115" s="6"/>
      <c r="K115" s="25" t="s">
        <v>34</v>
      </c>
      <c r="M115" s="36"/>
      <c r="N115" s="36"/>
      <c r="O115" s="36"/>
      <c r="P115" s="36"/>
      <c r="Q115" s="36"/>
      <c r="R115" s="36"/>
      <c r="S115" s="36"/>
      <c r="U115"/>
      <c r="V115"/>
      <c r="W115"/>
      <c r="X115"/>
    </row>
    <row r="116" spans="1:24" ht="14.4" x14ac:dyDescent="0.3">
      <c r="A116" s="3" t="s">
        <v>545</v>
      </c>
      <c r="B116" s="3" t="s">
        <v>546</v>
      </c>
      <c r="C116" s="3" t="b">
        <f>COUNTIF('IDA country list'!B$2:B$79,'WORKING VERSION'!B116) = 1</f>
        <v>0</v>
      </c>
      <c r="D116" t="s">
        <v>65</v>
      </c>
      <c r="G116" s="6" t="str">
        <f t="shared" si="5"/>
        <v/>
      </c>
      <c r="H116" s="42"/>
      <c r="I116" s="6" t="b">
        <f t="shared" si="4"/>
        <v>1</v>
      </c>
      <c r="J116" s="6"/>
      <c r="U116"/>
      <c r="V116"/>
      <c r="W116"/>
      <c r="X116"/>
    </row>
    <row r="117" spans="1:24" ht="14.4" x14ac:dyDescent="0.3">
      <c r="A117" s="3" t="s">
        <v>547</v>
      </c>
      <c r="B117" s="3" t="s">
        <v>548</v>
      </c>
      <c r="C117" s="3" t="b">
        <f>COUNTIF('IDA country list'!B$2:B$79,'WORKING VERSION'!B117) = 1</f>
        <v>0</v>
      </c>
      <c r="D117" t="s">
        <v>549</v>
      </c>
      <c r="E117" t="s">
        <v>84</v>
      </c>
      <c r="F117" s="8" t="s">
        <v>550</v>
      </c>
      <c r="G117" s="6" t="str">
        <f t="shared" si="5"/>
        <v>2020</v>
      </c>
      <c r="H117" s="43">
        <v>2020</v>
      </c>
      <c r="I117" s="6" t="b">
        <f t="shared" si="4"/>
        <v>1</v>
      </c>
      <c r="J117" s="6"/>
      <c r="K117" t="s">
        <v>43</v>
      </c>
      <c r="L117" t="s">
        <v>44</v>
      </c>
      <c r="M117" t="s">
        <v>551</v>
      </c>
      <c r="N117" t="s">
        <v>34</v>
      </c>
      <c r="O117" t="s">
        <v>87</v>
      </c>
      <c r="T117" t="s">
        <v>34</v>
      </c>
      <c r="U117"/>
      <c r="V117"/>
      <c r="W117"/>
      <c r="X117"/>
    </row>
    <row r="118" spans="1:24" ht="14.4" x14ac:dyDescent="0.3">
      <c r="A118" s="3" t="s">
        <v>552</v>
      </c>
      <c r="B118" s="3" t="s">
        <v>553</v>
      </c>
      <c r="C118" s="3" t="b">
        <f>COUNTIF('IDA country list'!B$2:B$79,'WORKING VERSION'!B118) = 1</f>
        <v>1</v>
      </c>
      <c r="D118" t="s">
        <v>554</v>
      </c>
      <c r="E118" t="s">
        <v>302</v>
      </c>
      <c r="F118" s="8" t="s">
        <v>555</v>
      </c>
      <c r="G118" s="6" t="str">
        <f t="shared" si="5"/>
        <v>2030</v>
      </c>
      <c r="H118" s="43">
        <v>2030</v>
      </c>
      <c r="I118" s="6" t="b">
        <f t="shared" si="4"/>
        <v>0</v>
      </c>
      <c r="J118" s="6"/>
      <c r="K118" t="s">
        <v>43</v>
      </c>
      <c r="L118" t="s">
        <v>86</v>
      </c>
      <c r="M118" t="s">
        <v>34</v>
      </c>
      <c r="U118"/>
      <c r="V118"/>
      <c r="W118"/>
      <c r="X118"/>
    </row>
    <row r="119" spans="1:24" ht="14.4" x14ac:dyDescent="0.3">
      <c r="A119" s="3" t="s">
        <v>556</v>
      </c>
      <c r="B119" s="3" t="s">
        <v>557</v>
      </c>
      <c r="C119" s="3" t="b">
        <f>COUNTIF('IDA country list'!B$2:B$79,'WORKING VERSION'!B119) = 1</f>
        <v>1</v>
      </c>
      <c r="D119" t="s">
        <v>558</v>
      </c>
      <c r="E119" t="s">
        <v>209</v>
      </c>
      <c r="F119" s="8" t="s">
        <v>559</v>
      </c>
      <c r="G119" s="6" t="str">
        <f t="shared" si="5"/>
        <v>2030</v>
      </c>
      <c r="H119" s="43">
        <v>2030</v>
      </c>
      <c r="I119" s="6" t="b">
        <f t="shared" si="4"/>
        <v>0</v>
      </c>
      <c r="J119" s="6"/>
      <c r="K119" t="s">
        <v>43</v>
      </c>
      <c r="L119" t="s">
        <v>44</v>
      </c>
      <c r="M119" t="s">
        <v>43</v>
      </c>
      <c r="N119" t="s">
        <v>43</v>
      </c>
      <c r="O119" t="s">
        <v>110</v>
      </c>
      <c r="P119" t="s">
        <v>560</v>
      </c>
      <c r="Q119" s="29">
        <v>115650</v>
      </c>
      <c r="R119" t="s">
        <v>561</v>
      </c>
      <c r="S119" t="s">
        <v>562</v>
      </c>
      <c r="T119" t="s">
        <v>34</v>
      </c>
      <c r="U119"/>
      <c r="V119"/>
      <c r="W119"/>
      <c r="X119"/>
    </row>
    <row r="120" spans="1:24" ht="14.4" x14ac:dyDescent="0.3">
      <c r="A120" s="3" t="s">
        <v>563</v>
      </c>
      <c r="B120" s="3" t="s">
        <v>564</v>
      </c>
      <c r="C120" s="3" t="b">
        <f>COUNTIF('IDA country list'!B$2:B$79,'WORKING VERSION'!B120) = 1</f>
        <v>0</v>
      </c>
      <c r="D120" t="s">
        <v>565</v>
      </c>
      <c r="E120" t="s">
        <v>427</v>
      </c>
      <c r="F120" s="8" t="s">
        <v>566</v>
      </c>
      <c r="G120" s="6" t="str">
        <f t="shared" si="5"/>
        <v>2024</v>
      </c>
      <c r="H120" s="43">
        <v>2024</v>
      </c>
      <c r="I120" s="6" t="b">
        <f t="shared" si="4"/>
        <v>1</v>
      </c>
      <c r="J120" s="6"/>
      <c r="K120" t="s">
        <v>43</v>
      </c>
      <c r="L120" t="s">
        <v>57</v>
      </c>
      <c r="M120" t="s">
        <v>34</v>
      </c>
      <c r="U120"/>
      <c r="V120"/>
      <c r="W120"/>
      <c r="X120"/>
    </row>
    <row r="121" spans="1:24" ht="14.4" x14ac:dyDescent="0.3">
      <c r="A121" s="3" t="s">
        <v>567</v>
      </c>
      <c r="B121" s="3" t="s">
        <v>568</v>
      </c>
      <c r="C121" s="3" t="b">
        <f>COUNTIF('IDA country list'!B$2:B$79,'WORKING VERSION'!B121) = 1</f>
        <v>1</v>
      </c>
      <c r="D121" t="s">
        <v>65</v>
      </c>
      <c r="G121" s="6" t="str">
        <f t="shared" si="5"/>
        <v/>
      </c>
      <c r="H121" s="42"/>
      <c r="I121" s="6" t="b">
        <f t="shared" si="4"/>
        <v>1</v>
      </c>
      <c r="J121" s="6" t="b">
        <v>1</v>
      </c>
      <c r="U121"/>
      <c r="V121"/>
      <c r="W121"/>
      <c r="X121"/>
    </row>
    <row r="122" spans="1:24" ht="14.4" x14ac:dyDescent="0.3">
      <c r="A122" s="3" t="s">
        <v>569</v>
      </c>
      <c r="B122" s="3" t="s">
        <v>570</v>
      </c>
      <c r="C122" s="3" t="b">
        <f>COUNTIF('IDA country list'!B$2:B$79,'WORKING VERSION'!B122) = 1</f>
        <v>0</v>
      </c>
      <c r="D122" t="s">
        <v>571</v>
      </c>
      <c r="E122" s="26" t="s">
        <v>249</v>
      </c>
      <c r="F122" s="8" t="s">
        <v>572</v>
      </c>
      <c r="G122" s="6" t="str">
        <f t="shared" si="5"/>
        <v>2025</v>
      </c>
      <c r="H122" s="43">
        <v>2025</v>
      </c>
      <c r="I122" s="6" t="b">
        <f t="shared" si="4"/>
        <v>0</v>
      </c>
      <c r="J122" s="6"/>
      <c r="K122" t="s">
        <v>43</v>
      </c>
      <c r="L122" t="s">
        <v>44</v>
      </c>
      <c r="M122" t="s">
        <v>34</v>
      </c>
      <c r="U122"/>
      <c r="V122"/>
      <c r="W122"/>
      <c r="X122"/>
    </row>
    <row r="123" spans="1:24" ht="14.4" x14ac:dyDescent="0.3">
      <c r="A123" s="3" t="s">
        <v>573</v>
      </c>
      <c r="B123" s="3" t="s">
        <v>574</v>
      </c>
      <c r="C123" s="3" t="b">
        <f>COUNTIF('IDA country list'!B$2:B$79,'WORKING VERSION'!B123) = 1</f>
        <v>1</v>
      </c>
      <c r="D123" t="s">
        <v>575</v>
      </c>
      <c r="E123" t="s">
        <v>418</v>
      </c>
      <c r="F123" s="6" t="s">
        <v>576</v>
      </c>
      <c r="G123" s="6" t="str">
        <f t="shared" si="5"/>
        <v>2024</v>
      </c>
      <c r="H123" s="43">
        <v>2024</v>
      </c>
      <c r="I123" s="6" t="b">
        <f t="shared" si="4"/>
        <v>1</v>
      </c>
      <c r="J123" s="6" t="b">
        <v>1</v>
      </c>
      <c r="K123" t="s">
        <v>43</v>
      </c>
      <c r="L123" t="s">
        <v>86</v>
      </c>
      <c r="M123" t="s">
        <v>43</v>
      </c>
      <c r="N123" t="s">
        <v>43</v>
      </c>
      <c r="O123" t="s">
        <v>421</v>
      </c>
      <c r="P123" t="s">
        <v>577</v>
      </c>
      <c r="Q123">
        <v>209000000</v>
      </c>
      <c r="R123" t="s">
        <v>103</v>
      </c>
      <c r="S123" t="s">
        <v>578</v>
      </c>
      <c r="T123" t="s">
        <v>43</v>
      </c>
      <c r="U123"/>
      <c r="V123"/>
      <c r="W123"/>
      <c r="X123"/>
    </row>
    <row r="124" spans="1:24" ht="14.4" x14ac:dyDescent="0.3">
      <c r="A124" s="3" t="s">
        <v>579</v>
      </c>
      <c r="B124" s="3" t="s">
        <v>580</v>
      </c>
      <c r="C124" s="3" t="b">
        <f>COUNTIF('IDA country list'!B$2:B$79,'WORKING VERSION'!B124) = 1</f>
        <v>0</v>
      </c>
      <c r="D124" t="s">
        <v>581</v>
      </c>
      <c r="E124" t="s">
        <v>249</v>
      </c>
      <c r="F124" s="8" t="s">
        <v>582</v>
      </c>
      <c r="G124" s="6" t="str">
        <f t="shared" ref="G124:G158" si="6">RIGHT(E124,4)</f>
        <v>2025</v>
      </c>
      <c r="H124" s="43">
        <v>2025</v>
      </c>
      <c r="I124" s="6" t="b">
        <f t="shared" si="4"/>
        <v>0</v>
      </c>
      <c r="J124" s="6"/>
      <c r="K124" t="s">
        <v>43</v>
      </c>
      <c r="L124" t="s">
        <v>44</v>
      </c>
      <c r="M124" t="s">
        <v>34</v>
      </c>
      <c r="U124"/>
      <c r="V124"/>
      <c r="W124"/>
      <c r="X124"/>
    </row>
    <row r="125" spans="1:24" ht="14.4" x14ac:dyDescent="0.3">
      <c r="A125" s="3" t="s">
        <v>583</v>
      </c>
      <c r="B125" s="3" t="s">
        <v>584</v>
      </c>
      <c r="C125" s="3" t="b">
        <f>COUNTIF('IDA country list'!B$2:B$79,'WORKING VERSION'!B125) = 1</f>
        <v>1</v>
      </c>
      <c r="D125" t="s">
        <v>585</v>
      </c>
      <c r="E125" t="s">
        <v>586</v>
      </c>
      <c r="F125" s="8" t="s">
        <v>587</v>
      </c>
      <c r="G125" s="6" t="str">
        <f t="shared" si="6"/>
        <v>2018</v>
      </c>
      <c r="H125" s="43">
        <v>2018</v>
      </c>
      <c r="I125" s="6" t="b">
        <f t="shared" si="4"/>
        <v>1</v>
      </c>
      <c r="J125" s="6" t="b">
        <v>1</v>
      </c>
      <c r="K125" t="s">
        <v>43</v>
      </c>
      <c r="L125" t="s">
        <v>44</v>
      </c>
      <c r="M125" t="s">
        <v>34</v>
      </c>
      <c r="U125"/>
      <c r="V125"/>
      <c r="W125"/>
      <c r="X125"/>
    </row>
    <row r="126" spans="1:24" ht="14.4" x14ac:dyDescent="0.3">
      <c r="A126" s="3" t="s">
        <v>588</v>
      </c>
      <c r="B126" s="3" t="s">
        <v>589</v>
      </c>
      <c r="C126" s="3" t="b">
        <f>COUNTIF('IDA country list'!B$2:B$79,'WORKING VERSION'!B126) = 1</f>
        <v>0</v>
      </c>
      <c r="D126" t="s">
        <v>590</v>
      </c>
      <c r="E126" t="s">
        <v>131</v>
      </c>
      <c r="F126" s="8" t="s">
        <v>591</v>
      </c>
      <c r="G126" s="6" t="str">
        <f t="shared" si="6"/>
        <v>2023</v>
      </c>
      <c r="H126" s="43">
        <v>2023</v>
      </c>
      <c r="I126" s="6" t="b">
        <f t="shared" si="4"/>
        <v>1</v>
      </c>
      <c r="J126" s="6"/>
      <c r="K126" t="s">
        <v>43</v>
      </c>
      <c r="L126" t="s">
        <v>44</v>
      </c>
      <c r="M126" t="s">
        <v>43</v>
      </c>
      <c r="N126" t="s">
        <v>34</v>
      </c>
      <c r="U126"/>
      <c r="V126"/>
      <c r="W126"/>
      <c r="X126"/>
    </row>
    <row r="127" spans="1:24" ht="14.4" x14ac:dyDescent="0.3">
      <c r="A127" s="3" t="s">
        <v>592</v>
      </c>
      <c r="B127" s="3" t="s">
        <v>593</v>
      </c>
      <c r="C127" s="3" t="b">
        <f>COUNTIF('IDA country list'!B$2:B$79,'WORKING VERSION'!B127) = 1</f>
        <v>0</v>
      </c>
      <c r="D127" t="s">
        <v>594</v>
      </c>
      <c r="E127" t="s">
        <v>108</v>
      </c>
      <c r="F127" s="8" t="s">
        <v>595</v>
      </c>
      <c r="G127" s="6" t="str">
        <f t="shared" si="6"/>
        <v>2025</v>
      </c>
      <c r="H127" s="43">
        <v>2025</v>
      </c>
      <c r="I127" s="6" t="b">
        <f t="shared" si="4"/>
        <v>0</v>
      </c>
      <c r="J127" s="6"/>
      <c r="K127" t="s">
        <v>43</v>
      </c>
      <c r="L127" t="s">
        <v>596</v>
      </c>
      <c r="M127" t="s">
        <v>43</v>
      </c>
      <c r="N127" t="s">
        <v>43</v>
      </c>
      <c r="O127" t="s">
        <v>597</v>
      </c>
      <c r="P127" t="s">
        <v>43</v>
      </c>
      <c r="Q127" t="s">
        <v>598</v>
      </c>
      <c r="R127" t="s">
        <v>598</v>
      </c>
      <c r="T127" t="s">
        <v>599</v>
      </c>
      <c r="U127"/>
      <c r="V127"/>
      <c r="W127"/>
      <c r="X127"/>
    </row>
    <row r="128" spans="1:24" ht="14.4" x14ac:dyDescent="0.3">
      <c r="A128" s="3" t="s">
        <v>600</v>
      </c>
      <c r="B128" s="3" t="s">
        <v>601</v>
      </c>
      <c r="C128" s="3" t="b">
        <f>COUNTIF('IDA country list'!B$2:B$79,'WORKING VERSION'!B128) = 1</f>
        <v>1</v>
      </c>
      <c r="D128" t="s">
        <v>602</v>
      </c>
      <c r="E128" t="s">
        <v>149</v>
      </c>
      <c r="F128" s="6" t="s">
        <v>603</v>
      </c>
      <c r="G128" s="6" t="str">
        <f t="shared" si="6"/>
        <v>2029</v>
      </c>
      <c r="H128" s="43">
        <v>2029</v>
      </c>
      <c r="I128" s="6" t="b">
        <f t="shared" si="4"/>
        <v>0</v>
      </c>
      <c r="J128" s="58" t="b">
        <v>1</v>
      </c>
      <c r="K128" t="s">
        <v>43</v>
      </c>
      <c r="L128" t="s">
        <v>164</v>
      </c>
      <c r="M128" t="s">
        <v>43</v>
      </c>
      <c r="N128" t="s">
        <v>43</v>
      </c>
      <c r="O128" t="s">
        <v>149</v>
      </c>
      <c r="P128" t="s">
        <v>604</v>
      </c>
      <c r="Q128" s="29">
        <v>1832680</v>
      </c>
      <c r="R128" t="s">
        <v>266</v>
      </c>
      <c r="S128" t="s">
        <v>1007</v>
      </c>
      <c r="T128" t="s">
        <v>43</v>
      </c>
      <c r="U128"/>
      <c r="V128"/>
      <c r="W128"/>
      <c r="X128"/>
    </row>
    <row r="129" spans="1:24" ht="14.4" x14ac:dyDescent="0.3">
      <c r="A129" s="3" t="s">
        <v>605</v>
      </c>
      <c r="B129" s="3" t="s">
        <v>606</v>
      </c>
      <c r="C129" s="3" t="b">
        <f>COUNTIF('IDA country list'!B$2:B$79,'WORKING VERSION'!B129) = 1</f>
        <v>1</v>
      </c>
      <c r="D129" t="s">
        <v>607</v>
      </c>
      <c r="E129" t="s">
        <v>108</v>
      </c>
      <c r="F129" s="6" t="s">
        <v>608</v>
      </c>
      <c r="G129" s="6" t="str">
        <f t="shared" si="6"/>
        <v>2025</v>
      </c>
      <c r="H129" s="43">
        <v>2025</v>
      </c>
      <c r="I129" s="6" t="b">
        <f t="shared" si="4"/>
        <v>0</v>
      </c>
      <c r="J129" s="6"/>
      <c r="K129" t="s">
        <v>43</v>
      </c>
      <c r="L129" t="s">
        <v>86</v>
      </c>
      <c r="M129" t="s">
        <v>43</v>
      </c>
      <c r="N129" t="s">
        <v>43</v>
      </c>
      <c r="O129" t="s">
        <v>110</v>
      </c>
      <c r="P129" t="s">
        <v>609</v>
      </c>
      <c r="Q129" s="29">
        <v>37750000</v>
      </c>
      <c r="R129" t="s">
        <v>610</v>
      </c>
      <c r="S129" t="s">
        <v>611</v>
      </c>
      <c r="T129" t="s">
        <v>612</v>
      </c>
      <c r="U129"/>
      <c r="V129"/>
      <c r="W129"/>
      <c r="X129"/>
    </row>
    <row r="130" spans="1:24" ht="14.4" x14ac:dyDescent="0.3">
      <c r="A130" s="3" t="s">
        <v>613</v>
      </c>
      <c r="B130" s="3" t="s">
        <v>614</v>
      </c>
      <c r="C130" s="3" t="b">
        <f>COUNTIF('IDA country list'!B$2:B$79,'WORKING VERSION'!B130) = 1</f>
        <v>0</v>
      </c>
      <c r="D130" t="s">
        <v>615</v>
      </c>
      <c r="E130" t="s">
        <v>334</v>
      </c>
      <c r="F130" s="8" t="s">
        <v>616</v>
      </c>
      <c r="G130" s="6" t="str">
        <f t="shared" si="6"/>
        <v>2025</v>
      </c>
      <c r="H130" s="43">
        <v>2025</v>
      </c>
      <c r="I130" s="6" t="b">
        <f t="shared" si="4"/>
        <v>0</v>
      </c>
      <c r="J130" s="6"/>
      <c r="K130" t="s">
        <v>43</v>
      </c>
      <c r="L130" t="s">
        <v>44</v>
      </c>
      <c r="M130" t="s">
        <v>34</v>
      </c>
      <c r="U130"/>
      <c r="V130"/>
      <c r="W130"/>
      <c r="X130"/>
    </row>
    <row r="131" spans="1:24" ht="14.4" x14ac:dyDescent="0.3">
      <c r="A131" s="3" t="s">
        <v>617</v>
      </c>
      <c r="B131" s="3" t="s">
        <v>618</v>
      </c>
      <c r="C131" s="3" t="b">
        <f>COUNTIF('IDA country list'!B$2:B$79,'WORKING VERSION'!B131) = 1</f>
        <v>1</v>
      </c>
      <c r="D131" t="s">
        <v>619</v>
      </c>
      <c r="E131" t="s">
        <v>131</v>
      </c>
      <c r="F131" s="6" t="s">
        <v>620</v>
      </c>
      <c r="G131" s="6" t="str">
        <f t="shared" si="6"/>
        <v>2023</v>
      </c>
      <c r="H131" s="43">
        <v>2023</v>
      </c>
      <c r="I131" s="6" t="b">
        <f t="shared" ref="I131:I194" si="7">H131&lt;2025</f>
        <v>1</v>
      </c>
      <c r="J131" s="6" t="b">
        <v>1</v>
      </c>
      <c r="K131" t="s">
        <v>43</v>
      </c>
      <c r="L131" t="s">
        <v>44</v>
      </c>
      <c r="M131" t="s">
        <v>43</v>
      </c>
      <c r="N131" t="s">
        <v>43</v>
      </c>
      <c r="O131" t="s">
        <v>462</v>
      </c>
      <c r="P131" t="s">
        <v>621</v>
      </c>
      <c r="Q131" s="29">
        <v>423000000</v>
      </c>
      <c r="R131" t="s">
        <v>622</v>
      </c>
      <c r="S131" t="s">
        <v>623</v>
      </c>
      <c r="T131" t="s">
        <v>43</v>
      </c>
      <c r="U131"/>
      <c r="V131"/>
      <c r="W131"/>
      <c r="X131"/>
    </row>
    <row r="132" spans="1:24" ht="14.4" x14ac:dyDescent="0.3">
      <c r="A132" s="3" t="s">
        <v>624</v>
      </c>
      <c r="B132" s="3" t="s">
        <v>625</v>
      </c>
      <c r="C132" s="3" t="b">
        <f>COUNTIF('IDA country list'!B$2:B$79,'WORKING VERSION'!B132) = 1</f>
        <v>0</v>
      </c>
      <c r="D132" t="s">
        <v>626</v>
      </c>
      <c r="E132" t="s">
        <v>108</v>
      </c>
      <c r="F132" s="8" t="s">
        <v>627</v>
      </c>
      <c r="G132" s="6" t="str">
        <f t="shared" si="6"/>
        <v>2025</v>
      </c>
      <c r="H132" s="43">
        <v>2025</v>
      </c>
      <c r="I132" s="6" t="b">
        <f t="shared" si="7"/>
        <v>0</v>
      </c>
      <c r="J132" s="6"/>
      <c r="K132" t="s">
        <v>43</v>
      </c>
      <c r="L132" t="s">
        <v>628</v>
      </c>
      <c r="M132" t="s">
        <v>34</v>
      </c>
      <c r="U132"/>
      <c r="V132"/>
      <c r="W132"/>
      <c r="X132"/>
    </row>
    <row r="133" spans="1:24" ht="14.4" x14ac:dyDescent="0.3">
      <c r="A133" s="3" t="s">
        <v>629</v>
      </c>
      <c r="B133" s="3" t="s">
        <v>630</v>
      </c>
      <c r="C133" s="3" t="b">
        <f>COUNTIF('IDA country list'!B$2:B$79,'WORKING VERSION'!B133) = 1</f>
        <v>0</v>
      </c>
      <c r="D133" t="s">
        <v>631</v>
      </c>
      <c r="E133" s="33" t="s">
        <v>632</v>
      </c>
      <c r="F133" s="8" t="s">
        <v>633</v>
      </c>
      <c r="G133" s="6" t="str">
        <f t="shared" si="6"/>
        <v>6/27</v>
      </c>
      <c r="H133" s="42">
        <v>2027</v>
      </c>
      <c r="I133" s="6" t="b">
        <f t="shared" si="7"/>
        <v>0</v>
      </c>
      <c r="J133" s="6"/>
      <c r="K133" t="s">
        <v>43</v>
      </c>
      <c r="L133" t="s">
        <v>44</v>
      </c>
      <c r="M133" t="s">
        <v>43</v>
      </c>
      <c r="N133" t="s">
        <v>34</v>
      </c>
      <c r="O133" t="s">
        <v>34</v>
      </c>
      <c r="T133" t="s">
        <v>34</v>
      </c>
      <c r="U133"/>
      <c r="V133"/>
      <c r="W133"/>
      <c r="X133"/>
    </row>
    <row r="134" spans="1:24" ht="14.4" x14ac:dyDescent="0.3">
      <c r="A134" s="3" t="s">
        <v>634</v>
      </c>
      <c r="B134" s="3" t="s">
        <v>635</v>
      </c>
      <c r="C134" s="3" t="b">
        <f>COUNTIF('IDA country list'!B$2:B$79,'WORKING VERSION'!B134) = 1</f>
        <v>1</v>
      </c>
      <c r="D134" t="s">
        <v>636</v>
      </c>
      <c r="E134" t="s">
        <v>197</v>
      </c>
      <c r="F134" s="6" t="s">
        <v>637</v>
      </c>
      <c r="G134" s="6" t="str">
        <f t="shared" si="6"/>
        <v>2026</v>
      </c>
      <c r="H134" s="43">
        <v>2026</v>
      </c>
      <c r="I134" s="6" t="b">
        <f t="shared" si="7"/>
        <v>0</v>
      </c>
      <c r="J134" s="6"/>
      <c r="K134" s="25" t="s">
        <v>43</v>
      </c>
      <c r="L134" t="s">
        <v>86</v>
      </c>
      <c r="M134" t="s">
        <v>638</v>
      </c>
      <c r="N134" t="s">
        <v>43</v>
      </c>
      <c r="O134" t="s">
        <v>221</v>
      </c>
      <c r="P134" s="36" t="s">
        <v>639</v>
      </c>
      <c r="Q134" s="29">
        <v>225060000</v>
      </c>
      <c r="R134" t="s">
        <v>103</v>
      </c>
      <c r="S134" t="s">
        <v>640</v>
      </c>
      <c r="T134" t="s">
        <v>43</v>
      </c>
      <c r="U134"/>
      <c r="V134"/>
      <c r="W134"/>
      <c r="X134"/>
    </row>
    <row r="135" spans="1:24" ht="14.4" x14ac:dyDescent="0.3">
      <c r="A135" s="3" t="s">
        <v>641</v>
      </c>
      <c r="B135" s="3" t="s">
        <v>642</v>
      </c>
      <c r="C135" s="3" t="b">
        <f>COUNTIF('IDA country list'!B$2:B$79,'WORKING VERSION'!B135) = 1</f>
        <v>1</v>
      </c>
      <c r="D135" t="s">
        <v>643</v>
      </c>
      <c r="E135" t="s">
        <v>205</v>
      </c>
      <c r="F135" s="8" t="s">
        <v>644</v>
      </c>
      <c r="G135" s="6" t="str">
        <f t="shared" si="6"/>
        <v>2021</v>
      </c>
      <c r="H135" s="43">
        <v>2021</v>
      </c>
      <c r="I135" s="6" t="b">
        <f t="shared" si="7"/>
        <v>1</v>
      </c>
      <c r="J135" s="6" t="b">
        <v>1</v>
      </c>
      <c r="K135" t="s">
        <v>43</v>
      </c>
      <c r="L135" t="s">
        <v>44</v>
      </c>
      <c r="M135" t="s">
        <v>645</v>
      </c>
      <c r="N135" t="s">
        <v>43</v>
      </c>
      <c r="O135" t="s">
        <v>646</v>
      </c>
      <c r="P135" t="s">
        <v>647</v>
      </c>
      <c r="Q135" s="29">
        <v>48106</v>
      </c>
      <c r="R135" t="s">
        <v>266</v>
      </c>
      <c r="S135" t="s">
        <v>648</v>
      </c>
      <c r="T135" t="s">
        <v>34</v>
      </c>
      <c r="U135"/>
      <c r="V135"/>
      <c r="W135"/>
      <c r="X135"/>
    </row>
    <row r="136" spans="1:24" ht="14.4" x14ac:dyDescent="0.3">
      <c r="A136" s="3" t="s">
        <v>649</v>
      </c>
      <c r="B136" s="3" t="s">
        <v>650</v>
      </c>
      <c r="C136" s="3" t="b">
        <f>COUNTIF('IDA country list'!B$2:B$79,'WORKING VERSION'!B136) = 1</f>
        <v>1</v>
      </c>
      <c r="D136" t="s">
        <v>651</v>
      </c>
      <c r="E136" t="s">
        <v>108</v>
      </c>
      <c r="F136" s="8" t="s">
        <v>652</v>
      </c>
      <c r="G136" s="6" t="str">
        <f t="shared" si="6"/>
        <v>2025</v>
      </c>
      <c r="H136" s="43">
        <v>2025</v>
      </c>
      <c r="I136" s="6" t="b">
        <f t="shared" si="7"/>
        <v>0</v>
      </c>
      <c r="J136" s="6"/>
      <c r="K136" t="s">
        <v>43</v>
      </c>
      <c r="L136" t="s">
        <v>57</v>
      </c>
      <c r="M136" t="s">
        <v>43</v>
      </c>
      <c r="N136" t="s">
        <v>34</v>
      </c>
      <c r="O136" t="s">
        <v>653</v>
      </c>
      <c r="T136" t="s">
        <v>34</v>
      </c>
      <c r="U136"/>
      <c r="V136"/>
      <c r="W136"/>
      <c r="X136"/>
    </row>
    <row r="137" spans="1:24" ht="14.4" x14ac:dyDescent="0.3">
      <c r="A137" s="3" t="s">
        <v>654</v>
      </c>
      <c r="B137" s="3" t="s">
        <v>655</v>
      </c>
      <c r="C137" s="3" t="b">
        <f>COUNTIF('IDA country list'!B$2:B$79,'WORKING VERSION'!B137) = 1</f>
        <v>0</v>
      </c>
      <c r="D137" t="s">
        <v>65</v>
      </c>
      <c r="G137" s="6" t="str">
        <f t="shared" si="6"/>
        <v/>
      </c>
      <c r="H137" s="42"/>
      <c r="I137" s="6" t="b">
        <f t="shared" si="7"/>
        <v>1</v>
      </c>
      <c r="J137" s="6"/>
      <c r="U137"/>
      <c r="V137"/>
      <c r="W137"/>
      <c r="X137"/>
    </row>
    <row r="138" spans="1:24" ht="14.4" x14ac:dyDescent="0.3">
      <c r="A138" s="3" t="s">
        <v>656</v>
      </c>
      <c r="B138" s="3" t="s">
        <v>657</v>
      </c>
      <c r="C138" s="3" t="b">
        <f>COUNTIF('IDA country list'!B$2:B$79,'WORKING VERSION'!B138) = 1</f>
        <v>0</v>
      </c>
      <c r="D138" t="s">
        <v>658</v>
      </c>
      <c r="E138" t="s">
        <v>659</v>
      </c>
      <c r="F138" s="8" t="s">
        <v>660</v>
      </c>
      <c r="G138" s="6" t="str">
        <f t="shared" si="6"/>
        <v>2023</v>
      </c>
      <c r="H138" s="43">
        <v>2023</v>
      </c>
      <c r="I138" s="6" t="b">
        <f t="shared" si="7"/>
        <v>1</v>
      </c>
      <c r="J138" s="6"/>
      <c r="K138" t="s">
        <v>43</v>
      </c>
      <c r="L138" t="s">
        <v>44</v>
      </c>
      <c r="M138" t="s">
        <v>34</v>
      </c>
      <c r="U138"/>
      <c r="V138"/>
      <c r="W138"/>
      <c r="X138"/>
    </row>
    <row r="139" spans="1:24" ht="14.4" x14ac:dyDescent="0.3">
      <c r="A139" s="3" t="s">
        <v>661</v>
      </c>
      <c r="B139" s="3" t="s">
        <v>662</v>
      </c>
      <c r="C139" s="3" t="b">
        <f>COUNTIF('IDA country list'!B$2:B$79,'WORKING VERSION'!B139) = 1</f>
        <v>1</v>
      </c>
      <c r="D139" t="s">
        <v>663</v>
      </c>
      <c r="E139" t="s">
        <v>664</v>
      </c>
      <c r="F139" s="44" t="s">
        <v>665</v>
      </c>
      <c r="G139" s="6" t="str">
        <f t="shared" si="6"/>
        <v>2/23</v>
      </c>
      <c r="H139" s="42">
        <v>2023</v>
      </c>
      <c r="I139" s="6" t="b">
        <f t="shared" si="7"/>
        <v>1</v>
      </c>
      <c r="J139" s="6" t="b">
        <v>1</v>
      </c>
      <c r="K139" t="s">
        <v>43</v>
      </c>
      <c r="L139" t="s">
        <v>666</v>
      </c>
      <c r="M139" t="s">
        <v>34</v>
      </c>
      <c r="U139"/>
      <c r="V139"/>
      <c r="W139"/>
      <c r="X139"/>
    </row>
    <row r="140" spans="1:24" ht="14.4" x14ac:dyDescent="0.3">
      <c r="A140" s="3" t="s">
        <v>667</v>
      </c>
      <c r="B140" s="3" t="s">
        <v>668</v>
      </c>
      <c r="C140" s="3" t="b">
        <f>COUNTIF('IDA country list'!B$2:B$79,'WORKING VERSION'!B140) = 1</f>
        <v>0</v>
      </c>
      <c r="D140" t="s">
        <v>65</v>
      </c>
      <c r="G140" s="6" t="str">
        <f t="shared" si="6"/>
        <v/>
      </c>
      <c r="H140" s="42"/>
      <c r="I140" s="6" t="b">
        <f t="shared" si="7"/>
        <v>1</v>
      </c>
      <c r="J140" s="6"/>
      <c r="U140"/>
      <c r="V140"/>
      <c r="W140"/>
      <c r="X140"/>
    </row>
    <row r="141" spans="1:24" ht="14.4" x14ac:dyDescent="0.3">
      <c r="A141" s="3" t="s">
        <v>669</v>
      </c>
      <c r="B141" s="3" t="s">
        <v>670</v>
      </c>
      <c r="C141" s="3" t="b">
        <f>COUNTIF('IDA country list'!B$2:B$79,'WORKING VERSION'!B141) = 1</f>
        <v>0</v>
      </c>
      <c r="D141" t="s">
        <v>671</v>
      </c>
      <c r="E141" t="s">
        <v>108</v>
      </c>
      <c r="F141" s="8" t="s">
        <v>672</v>
      </c>
      <c r="G141" s="6" t="str">
        <f t="shared" si="6"/>
        <v>2025</v>
      </c>
      <c r="H141" s="43">
        <v>2025</v>
      </c>
      <c r="I141" s="6" t="b">
        <f t="shared" si="7"/>
        <v>0</v>
      </c>
      <c r="J141" s="6"/>
      <c r="K141" t="s">
        <v>43</v>
      </c>
      <c r="L141" t="s">
        <v>44</v>
      </c>
      <c r="M141" t="s">
        <v>34</v>
      </c>
      <c r="U141"/>
      <c r="V141"/>
      <c r="W141"/>
      <c r="X141"/>
    </row>
    <row r="142" spans="1:24" ht="14.4" x14ac:dyDescent="0.3">
      <c r="A142" s="3" t="s">
        <v>673</v>
      </c>
      <c r="B142" s="3" t="s">
        <v>674</v>
      </c>
      <c r="C142" s="3" t="b">
        <f>COUNTIF('IDA country list'!B$2:B$79,'WORKING VERSION'!B142) = 1</f>
        <v>0</v>
      </c>
      <c r="D142" t="s">
        <v>65</v>
      </c>
      <c r="G142" s="6" t="str">
        <f t="shared" si="6"/>
        <v/>
      </c>
      <c r="H142" s="42"/>
      <c r="I142" s="6" t="b">
        <f t="shared" si="7"/>
        <v>1</v>
      </c>
      <c r="J142" s="6"/>
      <c r="U142"/>
      <c r="V142"/>
      <c r="W142"/>
      <c r="X142"/>
    </row>
    <row r="143" spans="1:24" ht="14.4" x14ac:dyDescent="0.3">
      <c r="A143" s="3" t="s">
        <v>675</v>
      </c>
      <c r="B143" s="3" t="s">
        <v>676</v>
      </c>
      <c r="C143" s="3" t="b">
        <f>COUNTIF('IDA country list'!B$2:B$79,'WORKING VERSION'!B143) = 1</f>
        <v>1</v>
      </c>
      <c r="D143" t="s">
        <v>677</v>
      </c>
      <c r="E143" t="s">
        <v>209</v>
      </c>
      <c r="F143" s="44" t="s">
        <v>678</v>
      </c>
      <c r="G143" s="6" t="str">
        <f t="shared" si="6"/>
        <v>2030</v>
      </c>
      <c r="H143" s="43">
        <v>2030</v>
      </c>
      <c r="I143" s="6" t="b">
        <f t="shared" si="7"/>
        <v>0</v>
      </c>
      <c r="J143" s="6"/>
      <c r="K143" t="s">
        <v>43</v>
      </c>
      <c r="L143" t="s">
        <v>44</v>
      </c>
      <c r="M143" t="s">
        <v>34</v>
      </c>
      <c r="U143"/>
      <c r="V143"/>
      <c r="W143"/>
      <c r="X143"/>
    </row>
    <row r="144" spans="1:24" ht="14.4" x14ac:dyDescent="0.3">
      <c r="A144" s="3" t="s">
        <v>679</v>
      </c>
      <c r="B144" s="3" t="s">
        <v>680</v>
      </c>
      <c r="C144" s="3" t="b">
        <f>COUNTIF('IDA country list'!B$2:B$79,'WORKING VERSION'!B144) = 1</f>
        <v>0</v>
      </c>
      <c r="D144" t="s">
        <v>681</v>
      </c>
      <c r="E144" t="s">
        <v>108</v>
      </c>
      <c r="F144" s="8" t="s">
        <v>682</v>
      </c>
      <c r="G144" s="6" t="str">
        <f t="shared" si="6"/>
        <v>2025</v>
      </c>
      <c r="H144" s="43">
        <v>2025</v>
      </c>
      <c r="I144" s="6" t="b">
        <f t="shared" si="7"/>
        <v>0</v>
      </c>
      <c r="J144" s="6"/>
      <c r="K144" t="s">
        <v>43</v>
      </c>
      <c r="L144" t="s">
        <v>57</v>
      </c>
      <c r="M144" t="s">
        <v>34</v>
      </c>
      <c r="U144"/>
      <c r="V144"/>
      <c r="W144"/>
      <c r="X144"/>
    </row>
    <row r="145" spans="1:24" ht="14.4" x14ac:dyDescent="0.3">
      <c r="A145" s="3" t="s">
        <v>683</v>
      </c>
      <c r="B145" s="3" t="s">
        <v>684</v>
      </c>
      <c r="C145" s="3" t="b">
        <f>COUNTIF('IDA country list'!B$2:B$79,'WORKING VERSION'!B145) = 1</f>
        <v>0</v>
      </c>
      <c r="D145" t="s">
        <v>685</v>
      </c>
      <c r="E145" t="s">
        <v>344</v>
      </c>
      <c r="F145" s="8" t="s">
        <v>686</v>
      </c>
      <c r="G145" s="6" t="str">
        <f t="shared" si="6"/>
        <v>2022</v>
      </c>
      <c r="H145" s="43">
        <v>2022</v>
      </c>
      <c r="I145" s="6" t="b">
        <f t="shared" si="7"/>
        <v>1</v>
      </c>
      <c r="J145" s="6"/>
      <c r="K145" t="s">
        <v>43</v>
      </c>
      <c r="L145" t="s">
        <v>57</v>
      </c>
      <c r="M145" t="s">
        <v>34</v>
      </c>
      <c r="U145"/>
      <c r="V145"/>
      <c r="W145"/>
      <c r="X145"/>
    </row>
    <row r="146" spans="1:24" ht="14.4" x14ac:dyDescent="0.3">
      <c r="A146" s="3" t="s">
        <v>687</v>
      </c>
      <c r="B146" s="3" t="s">
        <v>688</v>
      </c>
      <c r="C146" s="3" t="b">
        <f>COUNTIF('IDA country list'!B$2:B$79,'WORKING VERSION'!B146) = 1</f>
        <v>0</v>
      </c>
      <c r="D146" t="s">
        <v>689</v>
      </c>
      <c r="E146" t="s">
        <v>537</v>
      </c>
      <c r="F146" s="8" t="s">
        <v>690</v>
      </c>
      <c r="G146" s="6" t="str">
        <f t="shared" si="6"/>
        <v>2029</v>
      </c>
      <c r="H146" s="43">
        <v>2029</v>
      </c>
      <c r="I146" s="6" t="b">
        <f t="shared" si="7"/>
        <v>0</v>
      </c>
      <c r="J146" s="6"/>
      <c r="K146" t="s">
        <v>43</v>
      </c>
      <c r="L146" t="s">
        <v>44</v>
      </c>
      <c r="M146" t="s">
        <v>34</v>
      </c>
      <c r="U146"/>
      <c r="V146"/>
      <c r="W146"/>
      <c r="X146"/>
    </row>
    <row r="147" spans="1:24" ht="14.4" x14ac:dyDescent="0.3">
      <c r="A147" s="3" t="s">
        <v>691</v>
      </c>
      <c r="B147" s="3" t="s">
        <v>692</v>
      </c>
      <c r="C147" s="3" t="b">
        <f>COUNTIF('IDA country list'!B$2:B$79,'WORKING VERSION'!B147) = 1</f>
        <v>0</v>
      </c>
      <c r="D147" t="s">
        <v>65</v>
      </c>
      <c r="G147" s="6" t="str">
        <f t="shared" si="6"/>
        <v/>
      </c>
      <c r="H147" s="42"/>
      <c r="I147" s="6" t="b">
        <f t="shared" si="7"/>
        <v>1</v>
      </c>
      <c r="J147" s="6"/>
      <c r="U147"/>
      <c r="V147"/>
      <c r="W147"/>
      <c r="X147"/>
    </row>
    <row r="148" spans="1:24" ht="14.4" x14ac:dyDescent="0.3">
      <c r="A148" s="3" t="s">
        <v>693</v>
      </c>
      <c r="B148" s="3" t="s">
        <v>694</v>
      </c>
      <c r="C148" s="3" t="b">
        <f>COUNTIF('IDA country list'!B$2:B$79,'WORKING VERSION'!B148) = 1</f>
        <v>1</v>
      </c>
      <c r="D148" t="s">
        <v>695</v>
      </c>
      <c r="E148" t="s">
        <v>696</v>
      </c>
      <c r="F148" s="44" t="s">
        <v>697</v>
      </c>
      <c r="G148" s="6" t="str">
        <f t="shared" si="6"/>
        <v>2027</v>
      </c>
      <c r="H148" s="43">
        <v>2027</v>
      </c>
      <c r="I148" s="6" t="b">
        <f t="shared" si="7"/>
        <v>0</v>
      </c>
      <c r="J148" s="6"/>
      <c r="K148" t="s">
        <v>43</v>
      </c>
      <c r="L148" t="s">
        <v>44</v>
      </c>
      <c r="M148" t="s">
        <v>698</v>
      </c>
      <c r="N148" t="s">
        <v>43</v>
      </c>
      <c r="O148" t="s">
        <v>699</v>
      </c>
      <c r="P148" t="s">
        <v>700</v>
      </c>
      <c r="Q148" t="s">
        <v>701</v>
      </c>
      <c r="R148" t="s">
        <v>702</v>
      </c>
      <c r="S148" t="s">
        <v>703</v>
      </c>
      <c r="T148" t="s">
        <v>34</v>
      </c>
      <c r="U148"/>
      <c r="V148"/>
      <c r="W148"/>
      <c r="X148"/>
    </row>
    <row r="149" spans="1:24" ht="14.4" x14ac:dyDescent="0.3">
      <c r="A149" s="3" t="s">
        <v>704</v>
      </c>
      <c r="B149" s="3" t="s">
        <v>705</v>
      </c>
      <c r="C149" s="3" t="b">
        <f>COUNTIF('IDA country list'!B$2:B$79,'WORKING VERSION'!B149) = 1</f>
        <v>0</v>
      </c>
      <c r="D149" t="s">
        <v>65</v>
      </c>
      <c r="G149" s="6" t="str">
        <f t="shared" si="6"/>
        <v/>
      </c>
      <c r="H149" s="42"/>
      <c r="I149" s="6" t="b">
        <f t="shared" si="7"/>
        <v>1</v>
      </c>
      <c r="J149" s="6"/>
      <c r="U149"/>
      <c r="V149"/>
      <c r="W149"/>
      <c r="X149"/>
    </row>
    <row r="150" spans="1:24" ht="14.4" x14ac:dyDescent="0.3">
      <c r="A150" s="3" t="s">
        <v>706</v>
      </c>
      <c r="B150" s="3" t="s">
        <v>707</v>
      </c>
      <c r="C150" s="3" t="b">
        <f>COUNTIF('IDA country list'!B$2:B$79,'WORKING VERSION'!B150) = 1</f>
        <v>0</v>
      </c>
      <c r="D150" t="s">
        <v>65</v>
      </c>
      <c r="G150" s="6" t="str">
        <f t="shared" si="6"/>
        <v/>
      </c>
      <c r="H150" s="42"/>
      <c r="I150" s="6" t="b">
        <f t="shared" si="7"/>
        <v>1</v>
      </c>
      <c r="J150" s="6"/>
      <c r="U150"/>
      <c r="V150"/>
      <c r="W150"/>
      <c r="X150"/>
    </row>
    <row r="151" spans="1:24" ht="14.4" x14ac:dyDescent="0.3">
      <c r="A151" s="34" t="s">
        <v>708</v>
      </c>
      <c r="B151" s="3" t="s">
        <v>709</v>
      </c>
      <c r="C151" s="3" t="b">
        <f>COUNTIF('IDA country list'!B$2:B$79,'WORKING VERSION'!B151) = 1</f>
        <v>0</v>
      </c>
      <c r="D151" t="s">
        <v>710</v>
      </c>
      <c r="E151" t="s">
        <v>209</v>
      </c>
      <c r="F151" s="8" t="s">
        <v>711</v>
      </c>
      <c r="G151" s="6" t="str">
        <f t="shared" si="6"/>
        <v>2030</v>
      </c>
      <c r="H151" s="43">
        <v>2030</v>
      </c>
      <c r="I151" s="6" t="b">
        <f t="shared" si="7"/>
        <v>0</v>
      </c>
      <c r="J151" s="6"/>
      <c r="K151" t="s">
        <v>43</v>
      </c>
      <c r="L151" t="s">
        <v>57</v>
      </c>
      <c r="M151" t="s">
        <v>712</v>
      </c>
      <c r="N151" t="s">
        <v>43</v>
      </c>
      <c r="O151" t="s">
        <v>713</v>
      </c>
      <c r="P151" t="s">
        <v>714</v>
      </c>
      <c r="Q151" t="s">
        <v>715</v>
      </c>
      <c r="R151" t="s">
        <v>266</v>
      </c>
      <c r="S151" t="s">
        <v>716</v>
      </c>
      <c r="T151" t="s">
        <v>34</v>
      </c>
      <c r="U151"/>
      <c r="V151"/>
      <c r="W151"/>
      <c r="X151"/>
    </row>
    <row r="152" spans="1:24" ht="14.4" x14ac:dyDescent="0.3">
      <c r="A152" s="34" t="s">
        <v>708</v>
      </c>
      <c r="B152" s="3" t="s">
        <v>709</v>
      </c>
      <c r="C152" s="3" t="b">
        <f>COUNTIF('IDA country list'!B$2:B$79,'WORKING VERSION'!B152) = 1</f>
        <v>0</v>
      </c>
      <c r="D152" t="s">
        <v>717</v>
      </c>
      <c r="E152" t="s">
        <v>108</v>
      </c>
      <c r="F152" s="8" t="s">
        <v>718</v>
      </c>
      <c r="G152" s="6" t="str">
        <f t="shared" si="6"/>
        <v>2025</v>
      </c>
      <c r="H152" s="43">
        <v>2025</v>
      </c>
      <c r="I152" s="6" t="b">
        <f t="shared" si="7"/>
        <v>0</v>
      </c>
      <c r="J152" s="6"/>
      <c r="K152" t="s">
        <v>43</v>
      </c>
      <c r="L152" t="s">
        <v>57</v>
      </c>
      <c r="M152" t="s">
        <v>43</v>
      </c>
      <c r="N152" t="s">
        <v>43</v>
      </c>
      <c r="O152" t="s">
        <v>110</v>
      </c>
      <c r="P152" t="s">
        <v>719</v>
      </c>
      <c r="Q152" t="s">
        <v>720</v>
      </c>
      <c r="R152" t="s">
        <v>721</v>
      </c>
      <c r="S152" s="27" t="s">
        <v>352</v>
      </c>
      <c r="T152" t="s">
        <v>34</v>
      </c>
      <c r="U152"/>
      <c r="V152"/>
      <c r="W152"/>
      <c r="X152"/>
    </row>
    <row r="153" spans="1:24" ht="14.4" x14ac:dyDescent="0.3">
      <c r="A153" s="3" t="s">
        <v>722</v>
      </c>
      <c r="B153" s="3" t="s">
        <v>723</v>
      </c>
      <c r="C153" s="3" t="b">
        <f>COUNTIF('IDA country list'!B$2:B$79,'WORKING VERSION'!B153) = 1</f>
        <v>0</v>
      </c>
      <c r="D153" t="s">
        <v>724</v>
      </c>
      <c r="E153" t="s">
        <v>197</v>
      </c>
      <c r="F153" s="8" t="s">
        <v>725</v>
      </c>
      <c r="G153" s="6" t="str">
        <f t="shared" si="6"/>
        <v>2026</v>
      </c>
      <c r="H153" s="43">
        <v>2026</v>
      </c>
      <c r="I153" s="6" t="b">
        <f t="shared" si="7"/>
        <v>0</v>
      </c>
      <c r="J153" s="6"/>
      <c r="K153" t="s">
        <v>43</v>
      </c>
      <c r="L153" t="s">
        <v>44</v>
      </c>
      <c r="M153" t="s">
        <v>43</v>
      </c>
      <c r="N153" t="s">
        <v>34</v>
      </c>
      <c r="O153" t="s">
        <v>221</v>
      </c>
      <c r="T153" t="s">
        <v>34</v>
      </c>
      <c r="U153"/>
      <c r="V153"/>
      <c r="W153"/>
      <c r="X153"/>
    </row>
    <row r="154" spans="1:24" ht="14.4" x14ac:dyDescent="0.3">
      <c r="A154" s="3" t="s">
        <v>726</v>
      </c>
      <c r="B154" s="3" t="s">
        <v>727</v>
      </c>
      <c r="C154" s="3" t="b">
        <f>COUNTIF('IDA country list'!B$2:B$79,'WORKING VERSION'!B154) = 1</f>
        <v>0</v>
      </c>
      <c r="D154" t="s">
        <v>728</v>
      </c>
      <c r="E154" t="s">
        <v>729</v>
      </c>
      <c r="F154" s="8" t="s">
        <v>730</v>
      </c>
      <c r="G154" s="6" t="str">
        <f t="shared" si="6"/>
        <v>2013</v>
      </c>
      <c r="H154" s="43">
        <v>2013</v>
      </c>
      <c r="I154" s="6" t="b">
        <f t="shared" si="7"/>
        <v>1</v>
      </c>
      <c r="J154" s="6"/>
      <c r="K154" t="s">
        <v>43</v>
      </c>
      <c r="L154" t="s">
        <v>44</v>
      </c>
      <c r="M154" t="s">
        <v>34</v>
      </c>
      <c r="U154"/>
      <c r="V154"/>
      <c r="W154"/>
      <c r="X154"/>
    </row>
    <row r="155" spans="1:24" ht="14.4" x14ac:dyDescent="0.3">
      <c r="A155" s="3" t="s">
        <v>731</v>
      </c>
      <c r="B155" s="3" t="s">
        <v>732</v>
      </c>
      <c r="C155" s="3" t="b">
        <f>COUNTIF('IDA country list'!B$2:B$79,'WORKING VERSION'!B155) = 1</f>
        <v>0</v>
      </c>
      <c r="D155" s="36" t="s">
        <v>733</v>
      </c>
      <c r="E155" t="s">
        <v>126</v>
      </c>
      <c r="F155" s="8" t="s">
        <v>734</v>
      </c>
      <c r="G155" s="6" t="str">
        <f t="shared" si="6"/>
        <v>2027</v>
      </c>
      <c r="H155" s="43">
        <v>2027</v>
      </c>
      <c r="I155" s="6" t="b">
        <f t="shared" si="7"/>
        <v>0</v>
      </c>
      <c r="J155" s="6"/>
      <c r="K155" t="s">
        <v>43</v>
      </c>
      <c r="L155" t="s">
        <v>735</v>
      </c>
      <c r="M155" t="s">
        <v>736</v>
      </c>
      <c r="U155"/>
      <c r="V155"/>
      <c r="W155"/>
      <c r="X155"/>
    </row>
    <row r="156" spans="1:24" ht="14.4" x14ac:dyDescent="0.3">
      <c r="A156" s="3" t="s">
        <v>737</v>
      </c>
      <c r="B156" s="3" t="s">
        <v>738</v>
      </c>
      <c r="C156" s="3" t="b">
        <f>COUNTIF('IDA country list'!B$2:B$79,'WORKING VERSION'!B156) = 1</f>
        <v>0</v>
      </c>
      <c r="D156" t="s">
        <v>739</v>
      </c>
      <c r="E156" t="s">
        <v>740</v>
      </c>
      <c r="F156" s="8" t="s">
        <v>741</v>
      </c>
      <c r="G156" s="6" t="str">
        <f t="shared" si="6"/>
        <v>2024</v>
      </c>
      <c r="H156" s="43">
        <v>2024</v>
      </c>
      <c r="I156" s="6" t="b">
        <f t="shared" si="7"/>
        <v>1</v>
      </c>
      <c r="J156" s="6"/>
      <c r="K156" t="s">
        <v>43</v>
      </c>
      <c r="L156" t="s">
        <v>44</v>
      </c>
      <c r="M156" t="s">
        <v>34</v>
      </c>
      <c r="U156"/>
      <c r="V156"/>
      <c r="W156"/>
      <c r="X156"/>
    </row>
    <row r="157" spans="1:24" ht="14.4" x14ac:dyDescent="0.3">
      <c r="A157" s="57" t="s">
        <v>742</v>
      </c>
      <c r="B157" s="3" t="s">
        <v>743</v>
      </c>
      <c r="C157" s="3" t="b">
        <f>COUNTIF('IDA country list'!B$2:B$79,'WORKING VERSION'!B157) = 1</f>
        <v>1</v>
      </c>
      <c r="D157" t="s">
        <v>744</v>
      </c>
      <c r="E157" s="27" t="s">
        <v>745</v>
      </c>
      <c r="F157" s="6" t="s">
        <v>746</v>
      </c>
      <c r="G157" s="6" t="str">
        <f t="shared" si="6"/>
        <v xml:space="preserve">/29 </v>
      </c>
      <c r="H157" s="43">
        <v>2029</v>
      </c>
      <c r="I157" s="6" t="b">
        <f t="shared" si="7"/>
        <v>0</v>
      </c>
      <c r="J157" s="58" t="b">
        <v>1</v>
      </c>
      <c r="K157" t="s">
        <v>43</v>
      </c>
      <c r="L157" t="s">
        <v>44</v>
      </c>
      <c r="M157" t="s">
        <v>43</v>
      </c>
      <c r="N157" t="s">
        <v>43</v>
      </c>
      <c r="O157" t="s">
        <v>747</v>
      </c>
      <c r="P157" t="s">
        <v>748</v>
      </c>
      <c r="Q157" s="29">
        <v>1109896112</v>
      </c>
      <c r="R157" t="s">
        <v>749</v>
      </c>
      <c r="S157" t="s">
        <v>1008</v>
      </c>
      <c r="T157" t="s">
        <v>34</v>
      </c>
      <c r="U157"/>
      <c r="V157"/>
      <c r="W157"/>
      <c r="X157"/>
    </row>
    <row r="158" spans="1:24" ht="14.4" x14ac:dyDescent="0.3">
      <c r="A158" s="3" t="s">
        <v>750</v>
      </c>
      <c r="B158" s="3" t="s">
        <v>751</v>
      </c>
      <c r="C158" s="3" t="b">
        <f>COUNTIF('IDA country list'!B$2:B$79,'WORKING VERSION'!B158) = 1</f>
        <v>0</v>
      </c>
      <c r="D158" t="s">
        <v>752</v>
      </c>
      <c r="E158">
        <v>2030</v>
      </c>
      <c r="F158" s="44" t="s">
        <v>753</v>
      </c>
      <c r="G158" s="6" t="str">
        <f t="shared" si="6"/>
        <v>2030</v>
      </c>
      <c r="H158" s="43">
        <v>2030</v>
      </c>
      <c r="I158" s="6" t="b">
        <f t="shared" si="7"/>
        <v>0</v>
      </c>
      <c r="J158" s="6"/>
      <c r="K158" t="s">
        <v>43</v>
      </c>
      <c r="L158" t="s">
        <v>44</v>
      </c>
      <c r="M158" t="s">
        <v>34</v>
      </c>
      <c r="T158" t="s">
        <v>43</v>
      </c>
      <c r="U158"/>
      <c r="V158"/>
      <c r="W158"/>
      <c r="X158"/>
    </row>
    <row r="159" spans="1:24" ht="14.4" x14ac:dyDescent="0.3">
      <c r="A159" t="s">
        <v>754</v>
      </c>
      <c r="B159" s="3" t="s">
        <v>755</v>
      </c>
      <c r="C159" s="3" t="b">
        <f>COUNTIF('IDA country list'!B$2:B$79,'WORKING VERSION'!B159) = 1</f>
        <v>1</v>
      </c>
      <c r="I159" s="6" t="b">
        <f t="shared" si="7"/>
        <v>1</v>
      </c>
      <c r="J159" s="6" t="b">
        <v>1</v>
      </c>
    </row>
    <row r="160" spans="1:24" ht="14.4" x14ac:dyDescent="0.3">
      <c r="A160" s="3" t="s">
        <v>756</v>
      </c>
      <c r="B160" s="3" t="s">
        <v>757</v>
      </c>
      <c r="C160" s="3" t="b">
        <f>COUNTIF('IDA country list'!B$2:B$79,'WORKING VERSION'!B160) = 1</f>
        <v>1</v>
      </c>
      <c r="D160" t="s">
        <v>758</v>
      </c>
      <c r="E160" t="s">
        <v>131</v>
      </c>
      <c r="F160" s="6" t="s">
        <v>759</v>
      </c>
      <c r="G160" s="6" t="str">
        <f t="shared" ref="G160:G204" si="8">RIGHT(E160,4)</f>
        <v>2023</v>
      </c>
      <c r="H160" s="43">
        <v>2023</v>
      </c>
      <c r="I160" s="6" t="b">
        <f t="shared" si="7"/>
        <v>1</v>
      </c>
      <c r="J160" s="6" t="b">
        <v>1</v>
      </c>
      <c r="K160" t="s">
        <v>43</v>
      </c>
      <c r="L160" t="s">
        <v>86</v>
      </c>
      <c r="M160" t="s">
        <v>43</v>
      </c>
      <c r="N160" t="s">
        <v>43</v>
      </c>
      <c r="O160" t="s">
        <v>462</v>
      </c>
      <c r="P160" t="s">
        <v>760</v>
      </c>
      <c r="Q160" s="29">
        <v>1130772000</v>
      </c>
      <c r="R160" t="s">
        <v>103</v>
      </c>
      <c r="S160" t="s">
        <v>761</v>
      </c>
      <c r="T160" t="s">
        <v>43</v>
      </c>
      <c r="U160"/>
      <c r="V160"/>
      <c r="W160"/>
      <c r="X160"/>
    </row>
    <row r="161" spans="1:24" ht="14.4" x14ac:dyDescent="0.3">
      <c r="A161" s="3" t="s">
        <v>762</v>
      </c>
      <c r="B161" s="3" t="s">
        <v>763</v>
      </c>
      <c r="C161" s="3" t="b">
        <f>COUNTIF('IDA country list'!B$2:B$79,'WORKING VERSION'!B161) = 1</f>
        <v>0</v>
      </c>
      <c r="D161" t="s">
        <v>65</v>
      </c>
      <c r="G161" s="6" t="str">
        <f t="shared" si="8"/>
        <v/>
      </c>
      <c r="H161" s="42"/>
      <c r="I161" s="6" t="b">
        <f t="shared" si="7"/>
        <v>1</v>
      </c>
      <c r="J161" s="6"/>
      <c r="U161"/>
      <c r="V161"/>
      <c r="W161"/>
      <c r="X161"/>
    </row>
    <row r="162" spans="1:24" ht="14.4" x14ac:dyDescent="0.3">
      <c r="A162" s="3" t="s">
        <v>764</v>
      </c>
      <c r="B162" s="3" t="s">
        <v>765</v>
      </c>
      <c r="C162" s="3" t="b">
        <f>COUNTIF('IDA country list'!B$2:B$79,'WORKING VERSION'!B162) = 1</f>
        <v>1</v>
      </c>
      <c r="D162" t="s">
        <v>766</v>
      </c>
      <c r="E162" t="s">
        <v>767</v>
      </c>
      <c r="F162" s="8" t="s">
        <v>768</v>
      </c>
      <c r="G162" s="6" t="str">
        <f t="shared" si="8"/>
        <v>2035</v>
      </c>
      <c r="H162" s="43">
        <v>2035</v>
      </c>
      <c r="I162" s="6" t="b">
        <f t="shared" si="7"/>
        <v>0</v>
      </c>
      <c r="J162" s="6"/>
      <c r="K162" t="s">
        <v>43</v>
      </c>
      <c r="L162" t="s">
        <v>44</v>
      </c>
      <c r="M162" s="7" t="s">
        <v>769</v>
      </c>
      <c r="N162" s="35" t="s">
        <v>770</v>
      </c>
      <c r="O162" t="s">
        <v>771</v>
      </c>
      <c r="T162" t="s">
        <v>34</v>
      </c>
      <c r="U162"/>
      <c r="V162"/>
      <c r="W162"/>
      <c r="X162"/>
    </row>
    <row r="163" spans="1:24" ht="14.4" x14ac:dyDescent="0.3">
      <c r="A163" s="3" t="s">
        <v>772</v>
      </c>
      <c r="B163" s="3" t="s">
        <v>773</v>
      </c>
      <c r="C163" s="3" t="b">
        <f>COUNTIF('IDA country list'!B$2:B$79,'WORKING VERSION'!B163) = 1</f>
        <v>1</v>
      </c>
      <c r="D163" t="s">
        <v>774</v>
      </c>
      <c r="E163" t="s">
        <v>48</v>
      </c>
      <c r="F163" s="8" t="s">
        <v>775</v>
      </c>
      <c r="G163" s="6" t="str">
        <f t="shared" si="8"/>
        <v>2025</v>
      </c>
      <c r="H163" s="43">
        <v>2025</v>
      </c>
      <c r="I163" s="6" t="b">
        <f t="shared" si="7"/>
        <v>0</v>
      </c>
      <c r="J163" s="6"/>
      <c r="K163" t="s">
        <v>43</v>
      </c>
      <c r="L163" t="s">
        <v>44</v>
      </c>
      <c r="M163" t="s">
        <v>776</v>
      </c>
      <c r="N163" t="s">
        <v>43</v>
      </c>
      <c r="O163" t="s">
        <v>87</v>
      </c>
      <c r="P163" t="s">
        <v>777</v>
      </c>
      <c r="Q163">
        <v>852000000</v>
      </c>
      <c r="R163" t="s">
        <v>778</v>
      </c>
      <c r="T163" t="s">
        <v>34</v>
      </c>
      <c r="U163"/>
      <c r="V163"/>
      <c r="W163"/>
      <c r="X163"/>
    </row>
    <row r="164" spans="1:24" ht="14.4" x14ac:dyDescent="0.3">
      <c r="A164" s="3" t="s">
        <v>779</v>
      </c>
      <c r="B164" s="3" t="s">
        <v>780</v>
      </c>
      <c r="C164" s="3" t="b">
        <f>COUNTIF('IDA country list'!B$2:B$79,'WORKING VERSION'!B164) = 1</f>
        <v>0</v>
      </c>
      <c r="D164" t="s">
        <v>26</v>
      </c>
      <c r="F164" s="25"/>
      <c r="G164" s="6" t="str">
        <f t="shared" si="8"/>
        <v/>
      </c>
      <c r="H164" s="42"/>
      <c r="I164" s="6" t="b">
        <f t="shared" si="7"/>
        <v>1</v>
      </c>
      <c r="J164" s="6"/>
      <c r="K164" s="25"/>
      <c r="U164"/>
      <c r="V164"/>
      <c r="W164"/>
      <c r="X164"/>
    </row>
    <row r="165" spans="1:24" ht="14.4" x14ac:dyDescent="0.3">
      <c r="A165" s="3" t="s">
        <v>781</v>
      </c>
      <c r="B165" s="3" t="s">
        <v>782</v>
      </c>
      <c r="C165" s="3" t="b">
        <f>COUNTIF('IDA country list'!B$2:B$79,'WORKING VERSION'!B165) = 1</f>
        <v>0</v>
      </c>
      <c r="D165" t="s">
        <v>65</v>
      </c>
      <c r="G165" s="6" t="str">
        <f t="shared" si="8"/>
        <v/>
      </c>
      <c r="H165" s="42"/>
      <c r="I165" s="6" t="b">
        <f t="shared" si="7"/>
        <v>1</v>
      </c>
      <c r="J165" s="6"/>
      <c r="U165"/>
      <c r="V165"/>
      <c r="W165"/>
      <c r="X165"/>
    </row>
    <row r="166" spans="1:24" ht="14.4" x14ac:dyDescent="0.3">
      <c r="A166" s="3" t="s">
        <v>783</v>
      </c>
      <c r="B166" s="3" t="s">
        <v>784</v>
      </c>
      <c r="C166" s="3" t="b">
        <f>COUNTIF('IDA country list'!B$2:B$79,'WORKING VERSION'!B166) = 1</f>
        <v>1</v>
      </c>
      <c r="D166" t="s">
        <v>785</v>
      </c>
      <c r="E166" t="s">
        <v>172</v>
      </c>
      <c r="F166" s="8" t="s">
        <v>786</v>
      </c>
      <c r="G166" s="6" t="str">
        <f t="shared" si="8"/>
        <v>2029</v>
      </c>
      <c r="H166" s="43">
        <v>2029</v>
      </c>
      <c r="I166" s="6" t="b">
        <f t="shared" si="7"/>
        <v>0</v>
      </c>
      <c r="J166" s="6"/>
      <c r="K166" t="s">
        <v>43</v>
      </c>
      <c r="L166" t="s">
        <v>44</v>
      </c>
      <c r="M166" t="s">
        <v>787</v>
      </c>
      <c r="N166" t="s">
        <v>34</v>
      </c>
      <c r="O166" t="s">
        <v>110</v>
      </c>
      <c r="T166" t="s">
        <v>34</v>
      </c>
      <c r="U166"/>
      <c r="V166"/>
      <c r="W166"/>
      <c r="X166"/>
    </row>
    <row r="167" spans="1:24" ht="14.4" x14ac:dyDescent="0.3">
      <c r="A167" s="3" t="s">
        <v>788</v>
      </c>
      <c r="B167" s="3" t="s">
        <v>789</v>
      </c>
      <c r="C167" s="3" t="b">
        <f>COUNTIF('IDA country list'!B$2:B$79,'WORKING VERSION'!B167) = 1</f>
        <v>0</v>
      </c>
      <c r="D167" t="s">
        <v>790</v>
      </c>
      <c r="E167" t="s">
        <v>84</v>
      </c>
      <c r="F167" s="44" t="s">
        <v>791</v>
      </c>
      <c r="G167" s="6" t="str">
        <f t="shared" si="8"/>
        <v>2020</v>
      </c>
      <c r="H167" s="43">
        <v>2020</v>
      </c>
      <c r="I167" s="6" t="b">
        <f t="shared" si="7"/>
        <v>1</v>
      </c>
      <c r="J167" s="6"/>
      <c r="K167" t="s">
        <v>43</v>
      </c>
      <c r="L167" t="s">
        <v>44</v>
      </c>
      <c r="M167" t="s">
        <v>34</v>
      </c>
      <c r="U167"/>
      <c r="V167"/>
      <c r="W167"/>
      <c r="X167"/>
    </row>
    <row r="168" spans="1:24" ht="14.4" x14ac:dyDescent="0.3">
      <c r="A168" s="3" t="s">
        <v>792</v>
      </c>
      <c r="B168" s="3" t="s">
        <v>793</v>
      </c>
      <c r="C168" s="3" t="b">
        <f>COUNTIF('IDA country list'!B$2:B$79,'WORKING VERSION'!B168) = 1</f>
        <v>1</v>
      </c>
      <c r="D168" t="s">
        <v>794</v>
      </c>
      <c r="E168">
        <v>2008</v>
      </c>
      <c r="F168" s="8" t="s">
        <v>795</v>
      </c>
      <c r="G168" s="6" t="str">
        <f t="shared" si="8"/>
        <v>2008</v>
      </c>
      <c r="H168" s="43">
        <v>2008</v>
      </c>
      <c r="I168" s="6" t="b">
        <f t="shared" si="7"/>
        <v>1</v>
      </c>
      <c r="J168" s="6" t="b">
        <v>1</v>
      </c>
      <c r="K168" t="s">
        <v>43</v>
      </c>
      <c r="L168" t="s">
        <v>44</v>
      </c>
      <c r="M168" t="s">
        <v>43</v>
      </c>
      <c r="N168" t="s">
        <v>34</v>
      </c>
      <c r="O168" t="s">
        <v>653</v>
      </c>
      <c r="T168" t="s">
        <v>34</v>
      </c>
      <c r="U168"/>
      <c r="V168"/>
      <c r="W168"/>
      <c r="X168"/>
    </row>
    <row r="169" spans="1:24" ht="14.4" x14ac:dyDescent="0.3">
      <c r="A169" s="3" t="s">
        <v>796</v>
      </c>
      <c r="B169" s="3" t="s">
        <v>797</v>
      </c>
      <c r="C169" s="3" t="b">
        <f>COUNTIF('IDA country list'!B$2:B$79,'WORKING VERSION'!B169) = 1</f>
        <v>1</v>
      </c>
      <c r="D169" t="s">
        <v>798</v>
      </c>
      <c r="E169" t="s">
        <v>799</v>
      </c>
      <c r="F169" s="6" t="s">
        <v>800</v>
      </c>
      <c r="G169" s="6" t="str">
        <f t="shared" si="8"/>
        <v>2021</v>
      </c>
      <c r="H169" s="43">
        <v>2021</v>
      </c>
      <c r="I169" s="6" t="b">
        <f t="shared" si="7"/>
        <v>1</v>
      </c>
      <c r="J169" s="6" t="b">
        <v>1</v>
      </c>
      <c r="K169" t="s">
        <v>43</v>
      </c>
      <c r="L169" t="s">
        <v>164</v>
      </c>
      <c r="M169" t="s">
        <v>43</v>
      </c>
      <c r="N169" t="s">
        <v>34</v>
      </c>
      <c r="O169" t="s">
        <v>235</v>
      </c>
      <c r="T169" t="s">
        <v>43</v>
      </c>
      <c r="U169"/>
      <c r="V169"/>
      <c r="W169"/>
      <c r="X169"/>
    </row>
    <row r="170" spans="1:24" ht="14.4" x14ac:dyDescent="0.3">
      <c r="A170" s="3" t="s">
        <v>801</v>
      </c>
      <c r="B170" s="3" t="s">
        <v>802</v>
      </c>
      <c r="C170" s="3" t="b">
        <f>COUNTIF('IDA country list'!B$2:B$79,'WORKING VERSION'!B170) = 1</f>
        <v>1</v>
      </c>
      <c r="D170" s="7" t="s">
        <v>65</v>
      </c>
      <c r="G170" s="6" t="str">
        <f t="shared" si="8"/>
        <v/>
      </c>
      <c r="H170" s="42"/>
      <c r="I170" s="6" t="b">
        <f t="shared" si="7"/>
        <v>1</v>
      </c>
      <c r="J170" s="6" t="b">
        <v>1</v>
      </c>
      <c r="U170"/>
      <c r="V170"/>
      <c r="W170"/>
      <c r="X170"/>
    </row>
    <row r="171" spans="1:24" ht="14.4" x14ac:dyDescent="0.3">
      <c r="A171" s="3" t="s">
        <v>803</v>
      </c>
      <c r="B171" s="3" t="s">
        <v>804</v>
      </c>
      <c r="C171" s="3" t="b">
        <f>COUNTIF('IDA country list'!B$2:B$79,'WORKING VERSION'!B171) = 1</f>
        <v>0</v>
      </c>
      <c r="D171" t="s">
        <v>65</v>
      </c>
      <c r="G171" s="6" t="str">
        <f t="shared" si="8"/>
        <v/>
      </c>
      <c r="H171" s="42"/>
      <c r="I171" s="6" t="b">
        <f t="shared" si="7"/>
        <v>1</v>
      </c>
      <c r="J171" s="6"/>
      <c r="U171"/>
      <c r="V171"/>
      <c r="W171"/>
      <c r="X171"/>
    </row>
    <row r="172" spans="1:24" ht="14.4" x14ac:dyDescent="0.3">
      <c r="A172" s="3" t="s">
        <v>805</v>
      </c>
      <c r="B172" s="3" t="s">
        <v>806</v>
      </c>
      <c r="C172" s="3" t="b">
        <f>COUNTIF('IDA country list'!B$2:B$79,'WORKING VERSION'!B172) = 1</f>
        <v>0</v>
      </c>
      <c r="D172" t="s">
        <v>65</v>
      </c>
      <c r="G172" s="6" t="str">
        <f t="shared" si="8"/>
        <v/>
      </c>
      <c r="H172" s="42"/>
      <c r="I172" s="6" t="b">
        <f t="shared" si="7"/>
        <v>1</v>
      </c>
      <c r="J172" s="6"/>
      <c r="U172"/>
      <c r="V172"/>
      <c r="W172"/>
      <c r="X172"/>
    </row>
    <row r="173" spans="1:24" ht="14.4" x14ac:dyDescent="0.3">
      <c r="A173" s="3" t="s">
        <v>807</v>
      </c>
      <c r="B173" s="3" t="s">
        <v>808</v>
      </c>
      <c r="C173" s="3" t="b">
        <f>COUNTIF('IDA country list'!B$2:B$79,'WORKING VERSION'!B173) = 1</f>
        <v>0</v>
      </c>
      <c r="D173" t="s">
        <v>809</v>
      </c>
      <c r="E173" t="s">
        <v>810</v>
      </c>
      <c r="F173" s="8" t="s">
        <v>811</v>
      </c>
      <c r="G173" s="6" t="str">
        <f t="shared" si="8"/>
        <v>2022</v>
      </c>
      <c r="H173" s="43">
        <v>2022</v>
      </c>
      <c r="I173" s="6" t="b">
        <f t="shared" si="7"/>
        <v>1</v>
      </c>
      <c r="J173" s="6"/>
      <c r="K173" t="s">
        <v>43</v>
      </c>
      <c r="L173" t="s">
        <v>44</v>
      </c>
      <c r="M173" t="s">
        <v>34</v>
      </c>
      <c r="U173"/>
      <c r="V173"/>
      <c r="W173"/>
      <c r="X173"/>
    </row>
    <row r="174" spans="1:24" ht="14.4" x14ac:dyDescent="0.3">
      <c r="A174" s="46" t="s">
        <v>812</v>
      </c>
      <c r="B174" s="3" t="s">
        <v>813</v>
      </c>
      <c r="C174" s="3" t="b">
        <f>COUNTIF('IDA country list'!B$2:B$79,'WORKING VERSION'!B174) = 1</f>
        <v>1</v>
      </c>
      <c r="D174" t="s">
        <v>814</v>
      </c>
      <c r="E174" t="s">
        <v>84</v>
      </c>
      <c r="F174" s="25" t="s">
        <v>26</v>
      </c>
      <c r="G174" s="6" t="str">
        <f t="shared" si="8"/>
        <v>2020</v>
      </c>
      <c r="H174" s="43">
        <v>2020</v>
      </c>
      <c r="I174" s="6" t="b">
        <f t="shared" si="7"/>
        <v>1</v>
      </c>
      <c r="J174" s="6" t="b">
        <v>1</v>
      </c>
      <c r="K174" s="25" t="s">
        <v>34</v>
      </c>
      <c r="U174"/>
      <c r="V174"/>
      <c r="W174"/>
      <c r="X174"/>
    </row>
    <row r="175" spans="1:24" ht="14.4" x14ac:dyDescent="0.3">
      <c r="A175" s="45" t="s">
        <v>815</v>
      </c>
      <c r="B175" s="3" t="s">
        <v>816</v>
      </c>
      <c r="C175" s="3" t="b">
        <f>COUNTIF('IDA country list'!B$2:B$79,'WORKING VERSION'!B175) = 1</f>
        <v>0</v>
      </c>
      <c r="D175" s="47" t="s">
        <v>817</v>
      </c>
      <c r="E175" t="s">
        <v>227</v>
      </c>
      <c r="F175" s="54" t="s">
        <v>818</v>
      </c>
      <c r="G175" s="6" t="str">
        <f t="shared" si="8"/>
        <v>2027</v>
      </c>
      <c r="H175" s="43">
        <v>2027</v>
      </c>
      <c r="I175" s="6" t="b">
        <f t="shared" si="7"/>
        <v>0</v>
      </c>
      <c r="J175" s="6"/>
      <c r="K175" t="s">
        <v>43</v>
      </c>
      <c r="L175" t="s">
        <v>44</v>
      </c>
      <c r="M175" t="s">
        <v>43</v>
      </c>
      <c r="N175" t="s">
        <v>43</v>
      </c>
      <c r="O175" t="s">
        <v>819</v>
      </c>
      <c r="P175" t="s">
        <v>820</v>
      </c>
      <c r="Q175" s="29">
        <v>274000</v>
      </c>
      <c r="R175" t="s">
        <v>821</v>
      </c>
      <c r="S175" t="s">
        <v>822</v>
      </c>
      <c r="T175" t="s">
        <v>34</v>
      </c>
      <c r="U175"/>
      <c r="V175"/>
      <c r="W175"/>
      <c r="X175"/>
    </row>
    <row r="176" spans="1:24" ht="14.4" x14ac:dyDescent="0.3">
      <c r="A176" s="9" t="s">
        <v>823</v>
      </c>
      <c r="B176" s="3" t="s">
        <v>824</v>
      </c>
      <c r="C176" s="3" t="b">
        <f>COUNTIF('IDA country list'!B$2:B$79,'WORKING VERSION'!B176) = 1</f>
        <v>1</v>
      </c>
      <c r="D176" s="10" t="s">
        <v>825</v>
      </c>
      <c r="E176" t="s">
        <v>826</v>
      </c>
      <c r="F176" s="53" t="s">
        <v>26</v>
      </c>
      <c r="G176" s="6" t="str">
        <f t="shared" si="8"/>
        <v>2010</v>
      </c>
      <c r="H176" s="43">
        <v>2010</v>
      </c>
      <c r="I176" s="6" t="b">
        <f t="shared" si="7"/>
        <v>1</v>
      </c>
      <c r="J176" s="6" t="b">
        <v>1</v>
      </c>
      <c r="K176" s="20" t="s">
        <v>34</v>
      </c>
      <c r="U176"/>
      <c r="V176"/>
      <c r="W176"/>
      <c r="X176"/>
    </row>
    <row r="177" spans="1:24" ht="14.4" x14ac:dyDescent="0.3">
      <c r="A177" s="45" t="s">
        <v>827</v>
      </c>
      <c r="B177" s="3" t="s">
        <v>828</v>
      </c>
      <c r="C177" s="3" t="b">
        <f>COUNTIF('IDA country list'!B$2:B$79,'WORKING VERSION'!B177) = 1</f>
        <v>1</v>
      </c>
      <c r="D177" s="47" t="s">
        <v>829</v>
      </c>
      <c r="E177" t="s">
        <v>197</v>
      </c>
      <c r="F177" s="55" t="s">
        <v>26</v>
      </c>
      <c r="G177" s="6" t="str">
        <f t="shared" si="8"/>
        <v>2026</v>
      </c>
      <c r="H177" s="43">
        <v>2026</v>
      </c>
      <c r="I177" s="6" t="b">
        <f t="shared" si="7"/>
        <v>0</v>
      </c>
      <c r="J177" s="6"/>
      <c r="K177" s="25" t="s">
        <v>34</v>
      </c>
      <c r="U177"/>
      <c r="V177"/>
      <c r="W177"/>
      <c r="X177"/>
    </row>
    <row r="178" spans="1:24" ht="14.4" x14ac:dyDescent="0.3">
      <c r="A178" s="51" t="s">
        <v>830</v>
      </c>
      <c r="B178" s="3" t="s">
        <v>831</v>
      </c>
      <c r="C178" s="3" t="b">
        <f>COUNTIF('IDA country list'!B$2:B$79,'WORKING VERSION'!B178) = 1</f>
        <v>1</v>
      </c>
      <c r="D178" s="49" t="s">
        <v>832</v>
      </c>
      <c r="E178" t="s">
        <v>418</v>
      </c>
      <c r="F178" s="6" t="s">
        <v>833</v>
      </c>
      <c r="G178" s="6" t="str">
        <f t="shared" si="8"/>
        <v>2024</v>
      </c>
      <c r="H178" s="43">
        <v>2024</v>
      </c>
      <c r="I178" s="6" t="b">
        <f t="shared" si="7"/>
        <v>1</v>
      </c>
      <c r="J178" s="6" t="b">
        <v>1</v>
      </c>
      <c r="K178" t="s">
        <v>43</v>
      </c>
      <c r="L178" t="s">
        <v>86</v>
      </c>
      <c r="M178" t="s">
        <v>43</v>
      </c>
      <c r="N178" t="s">
        <v>43</v>
      </c>
      <c r="O178" t="s">
        <v>421</v>
      </c>
      <c r="P178" t="s">
        <v>834</v>
      </c>
      <c r="Q178" s="32">
        <v>3996779000</v>
      </c>
      <c r="R178" t="s">
        <v>103</v>
      </c>
      <c r="S178" t="s">
        <v>835</v>
      </c>
      <c r="T178" t="s">
        <v>43</v>
      </c>
      <c r="U178"/>
      <c r="V178"/>
      <c r="W178"/>
      <c r="X178"/>
    </row>
    <row r="179" spans="1:24" ht="14.4" x14ac:dyDescent="0.3">
      <c r="A179" s="19" t="s">
        <v>836</v>
      </c>
      <c r="B179" s="3" t="s">
        <v>837</v>
      </c>
      <c r="C179" s="3" t="b">
        <f>COUNTIF('IDA country list'!B$2:B$79,'WORKING VERSION'!B179) = 1</f>
        <v>0</v>
      </c>
      <c r="D179" s="48" t="s">
        <v>838</v>
      </c>
      <c r="E179" t="s">
        <v>839</v>
      </c>
      <c r="F179" s="41" t="s">
        <v>840</v>
      </c>
      <c r="G179" s="6" t="str">
        <f t="shared" si="8"/>
        <v>2022</v>
      </c>
      <c r="H179" s="43">
        <v>2022</v>
      </c>
      <c r="I179" s="6" t="b">
        <f t="shared" si="7"/>
        <v>1</v>
      </c>
      <c r="J179" s="6"/>
      <c r="K179" t="s">
        <v>34</v>
      </c>
      <c r="U179"/>
      <c r="V179"/>
      <c r="W179"/>
      <c r="X179"/>
    </row>
    <row r="180" spans="1:24" ht="14.4" x14ac:dyDescent="0.3">
      <c r="A180" s="19" t="s">
        <v>841</v>
      </c>
      <c r="B180" s="3" t="s">
        <v>842</v>
      </c>
      <c r="C180" s="3" t="b">
        <f>COUNTIF('IDA country list'!B$2:B$79,'WORKING VERSION'!B180) = 1</f>
        <v>1</v>
      </c>
      <c r="D180" s="19" t="s">
        <v>843</v>
      </c>
      <c r="E180" t="s">
        <v>844</v>
      </c>
      <c r="F180" s="40" t="s">
        <v>845</v>
      </c>
      <c r="G180" s="6" t="str">
        <f t="shared" si="8"/>
        <v>2030</v>
      </c>
      <c r="H180" s="43">
        <v>2030</v>
      </c>
      <c r="I180" s="6" t="b">
        <f t="shared" si="7"/>
        <v>0</v>
      </c>
      <c r="J180" s="6"/>
      <c r="K180" t="s">
        <v>43</v>
      </c>
      <c r="L180" t="s">
        <v>44</v>
      </c>
      <c r="M180" t="s">
        <v>43</v>
      </c>
      <c r="N180" t="s">
        <v>43</v>
      </c>
      <c r="O180" t="s">
        <v>846</v>
      </c>
      <c r="P180" t="s">
        <v>847</v>
      </c>
      <c r="Q180" s="29">
        <v>845000</v>
      </c>
      <c r="R180" s="36" t="s">
        <v>266</v>
      </c>
      <c r="S180" t="s">
        <v>848</v>
      </c>
      <c r="U180"/>
      <c r="V180"/>
      <c r="W180"/>
      <c r="X180"/>
    </row>
    <row r="181" spans="1:24" ht="14.4" x14ac:dyDescent="0.3">
      <c r="A181" s="3" t="s">
        <v>849</v>
      </c>
      <c r="B181" s="3" t="s">
        <v>850</v>
      </c>
      <c r="C181" s="3" t="b">
        <f>COUNTIF('IDA country list'!B$2:B$79,'WORKING VERSION'!B181) = 1</f>
        <v>0</v>
      </c>
      <c r="D181" t="s">
        <v>851</v>
      </c>
      <c r="E181" t="s">
        <v>852</v>
      </c>
      <c r="F181" t="s">
        <v>26</v>
      </c>
      <c r="G181" s="6" t="str">
        <f t="shared" si="8"/>
        <v>2012</v>
      </c>
      <c r="H181" s="43">
        <v>2012</v>
      </c>
      <c r="I181" s="6" t="b">
        <f t="shared" si="7"/>
        <v>1</v>
      </c>
      <c r="J181" s="6"/>
      <c r="K181" t="s">
        <v>34</v>
      </c>
      <c r="U181"/>
      <c r="V181"/>
      <c r="W181"/>
      <c r="X181"/>
    </row>
    <row r="182" spans="1:24" ht="14.4" x14ac:dyDescent="0.3">
      <c r="A182" s="3" t="s">
        <v>853</v>
      </c>
      <c r="B182" s="3" t="s">
        <v>854</v>
      </c>
      <c r="C182" s="3" t="b">
        <f>COUNTIF('IDA country list'!B$2:B$79,'WORKING VERSION'!B182) = 1</f>
        <v>1</v>
      </c>
      <c r="D182" t="s">
        <v>855</v>
      </c>
      <c r="E182" t="s">
        <v>404</v>
      </c>
      <c r="F182" s="8" t="s">
        <v>856</v>
      </c>
      <c r="G182" s="6" t="str">
        <f t="shared" si="8"/>
        <v>2033</v>
      </c>
      <c r="H182" s="43">
        <v>2033</v>
      </c>
      <c r="I182" s="6" t="b">
        <f t="shared" si="7"/>
        <v>0</v>
      </c>
      <c r="J182" s="6"/>
      <c r="K182" t="s">
        <v>43</v>
      </c>
      <c r="L182" t="s">
        <v>44</v>
      </c>
      <c r="M182" t="s">
        <v>857</v>
      </c>
      <c r="N182" t="s">
        <v>34</v>
      </c>
      <c r="O182" t="s">
        <v>858</v>
      </c>
      <c r="T182" t="s">
        <v>34</v>
      </c>
      <c r="U182"/>
      <c r="V182"/>
      <c r="W182"/>
      <c r="X182"/>
    </row>
    <row r="183" spans="1:24" ht="14.4" x14ac:dyDescent="0.3">
      <c r="A183" s="3" t="s">
        <v>859</v>
      </c>
      <c r="B183" s="3" t="s">
        <v>860</v>
      </c>
      <c r="C183" s="3" t="b">
        <f>COUNTIF('IDA country list'!B$2:B$79,'WORKING VERSION'!B183) = 1</f>
        <v>1</v>
      </c>
      <c r="D183" t="s">
        <v>861</v>
      </c>
      <c r="E183" t="s">
        <v>131</v>
      </c>
      <c r="F183" s="44" t="s">
        <v>862</v>
      </c>
      <c r="G183" s="6" t="str">
        <f t="shared" si="8"/>
        <v>2023</v>
      </c>
      <c r="H183" s="43">
        <v>2023</v>
      </c>
      <c r="I183" s="6" t="b">
        <f t="shared" si="7"/>
        <v>1</v>
      </c>
      <c r="J183" s="6" t="b">
        <v>1</v>
      </c>
      <c r="K183" t="s">
        <v>43</v>
      </c>
      <c r="L183" t="s">
        <v>44</v>
      </c>
      <c r="M183" t="s">
        <v>863</v>
      </c>
      <c r="N183" t="s">
        <v>34</v>
      </c>
      <c r="O183" t="s">
        <v>462</v>
      </c>
      <c r="P183" t="s">
        <v>34</v>
      </c>
      <c r="U183"/>
      <c r="V183"/>
      <c r="W183"/>
      <c r="X183"/>
    </row>
    <row r="184" spans="1:24" ht="14.4" x14ac:dyDescent="0.3">
      <c r="A184" s="3" t="s">
        <v>864</v>
      </c>
      <c r="B184" s="3" t="s">
        <v>865</v>
      </c>
      <c r="C184" s="3" t="b">
        <f>COUNTIF('IDA country list'!B$2:B$79,'WORKING VERSION'!B184) = 1</f>
        <v>0</v>
      </c>
      <c r="D184" t="s">
        <v>65</v>
      </c>
      <c r="G184" s="6" t="str">
        <f t="shared" si="8"/>
        <v/>
      </c>
      <c r="H184" s="42"/>
      <c r="I184" s="6" t="b">
        <f t="shared" si="7"/>
        <v>1</v>
      </c>
      <c r="J184" s="6"/>
      <c r="U184"/>
      <c r="V184"/>
      <c r="W184"/>
      <c r="X184"/>
    </row>
    <row r="185" spans="1:24" ht="14.4" x14ac:dyDescent="0.3">
      <c r="A185" s="3" t="s">
        <v>866</v>
      </c>
      <c r="B185" s="3" t="s">
        <v>867</v>
      </c>
      <c r="C185" s="3" t="b">
        <f>COUNTIF('IDA country list'!B$2:B$79,'WORKING VERSION'!B185) = 1</f>
        <v>0</v>
      </c>
      <c r="D185" t="s">
        <v>868</v>
      </c>
      <c r="E185" t="s">
        <v>84</v>
      </c>
      <c r="F185" s="25" t="s">
        <v>26</v>
      </c>
      <c r="G185" s="6" t="str">
        <f t="shared" si="8"/>
        <v>2020</v>
      </c>
      <c r="H185" s="43">
        <v>2020</v>
      </c>
      <c r="I185" s="6" t="b">
        <f t="shared" si="7"/>
        <v>1</v>
      </c>
      <c r="J185" s="6"/>
      <c r="K185" s="25" t="s">
        <v>34</v>
      </c>
      <c r="U185"/>
      <c r="V185"/>
      <c r="W185"/>
      <c r="X185"/>
    </row>
    <row r="186" spans="1:24" ht="14.4" x14ac:dyDescent="0.3">
      <c r="A186" s="3" t="s">
        <v>869</v>
      </c>
      <c r="B186" s="3" t="s">
        <v>870</v>
      </c>
      <c r="C186" s="3" t="b">
        <f>COUNTIF('IDA country list'!B$2:B$79,'WORKING VERSION'!B186) = 1</f>
        <v>0</v>
      </c>
      <c r="D186" s="26" t="s">
        <v>871</v>
      </c>
      <c r="E186" t="s">
        <v>131</v>
      </c>
      <c r="F186" s="8" t="s">
        <v>872</v>
      </c>
      <c r="G186" s="6" t="str">
        <f t="shared" si="8"/>
        <v>2023</v>
      </c>
      <c r="H186" s="43">
        <v>2023</v>
      </c>
      <c r="I186" s="6" t="b">
        <f t="shared" si="7"/>
        <v>1</v>
      </c>
      <c r="J186" s="6"/>
      <c r="K186" t="s">
        <v>43</v>
      </c>
      <c r="L186" t="s">
        <v>873</v>
      </c>
      <c r="M186" t="s">
        <v>43</v>
      </c>
      <c r="N186" t="s">
        <v>34</v>
      </c>
      <c r="O186" t="s">
        <v>462</v>
      </c>
      <c r="T186" t="s">
        <v>34</v>
      </c>
      <c r="U186"/>
      <c r="V186"/>
      <c r="W186"/>
      <c r="X186"/>
    </row>
    <row r="187" spans="1:24" ht="14.4" x14ac:dyDescent="0.3">
      <c r="A187" s="3" t="s">
        <v>874</v>
      </c>
      <c r="B187" s="3" t="s">
        <v>875</v>
      </c>
      <c r="C187" s="3" t="b">
        <f>COUNTIF('IDA country list'!B$2:B$79,'WORKING VERSION'!B187) = 1</f>
        <v>1</v>
      </c>
      <c r="D187" t="s">
        <v>876</v>
      </c>
      <c r="E187" t="s">
        <v>418</v>
      </c>
      <c r="F187" s="44" t="s">
        <v>877</v>
      </c>
      <c r="G187" s="6" t="str">
        <f t="shared" si="8"/>
        <v>2024</v>
      </c>
      <c r="H187" s="43">
        <v>2024</v>
      </c>
      <c r="I187" s="6" t="b">
        <f t="shared" si="7"/>
        <v>1</v>
      </c>
      <c r="J187" s="6" t="b">
        <v>1</v>
      </c>
      <c r="K187" t="s">
        <v>43</v>
      </c>
      <c r="L187" t="s">
        <v>44</v>
      </c>
      <c r="M187" t="s">
        <v>34</v>
      </c>
      <c r="U187"/>
      <c r="V187"/>
      <c r="W187"/>
      <c r="X187"/>
    </row>
    <row r="188" spans="1:24" ht="14.4" x14ac:dyDescent="0.3">
      <c r="A188" s="19" t="s">
        <v>878</v>
      </c>
      <c r="B188" s="3" t="s">
        <v>879</v>
      </c>
      <c r="C188" s="3" t="b">
        <f>COUNTIF('IDA country list'!B$2:B$79,'WORKING VERSION'!B188) = 1</f>
        <v>0</v>
      </c>
      <c r="D188" t="s">
        <v>26</v>
      </c>
      <c r="G188" s="6" t="str">
        <f t="shared" si="8"/>
        <v/>
      </c>
      <c r="H188" s="42"/>
      <c r="I188" s="6" t="b">
        <f t="shared" si="7"/>
        <v>1</v>
      </c>
      <c r="J188" s="6"/>
      <c r="U188"/>
      <c r="V188"/>
      <c r="W188"/>
      <c r="X188"/>
    </row>
    <row r="189" spans="1:24" ht="14.4" x14ac:dyDescent="0.3">
      <c r="A189" s="21" t="s">
        <v>880</v>
      </c>
      <c r="B189" s="3" t="s">
        <v>881</v>
      </c>
      <c r="C189" s="3" t="b">
        <f>COUNTIF('IDA country list'!B$2:B$79,'WORKING VERSION'!B189) = 1</f>
        <v>1</v>
      </c>
      <c r="D189" s="22" t="s">
        <v>882</v>
      </c>
      <c r="E189" t="s">
        <v>883</v>
      </c>
      <c r="F189" s="52" t="s">
        <v>884</v>
      </c>
      <c r="G189" s="6" t="str">
        <f t="shared" si="8"/>
        <v>6/27</v>
      </c>
      <c r="H189" s="42">
        <v>2027</v>
      </c>
      <c r="I189" s="6" t="b">
        <f t="shared" si="7"/>
        <v>0</v>
      </c>
      <c r="J189" s="6"/>
      <c r="K189" t="s">
        <v>43</v>
      </c>
      <c r="L189" t="s">
        <v>44</v>
      </c>
      <c r="M189" t="s">
        <v>43</v>
      </c>
      <c r="N189" t="s">
        <v>34</v>
      </c>
      <c r="U189"/>
      <c r="V189"/>
      <c r="W189"/>
      <c r="X189"/>
    </row>
    <row r="190" spans="1:24" ht="14.4" x14ac:dyDescent="0.3">
      <c r="A190" s="9" t="s">
        <v>885</v>
      </c>
      <c r="B190" s="3" t="s">
        <v>886</v>
      </c>
      <c r="C190" s="3" t="b">
        <f>COUNTIF('IDA country list'!B$2:B$79,'WORKING VERSION'!B190) = 1</f>
        <v>1</v>
      </c>
      <c r="D190" s="10" t="s">
        <v>887</v>
      </c>
      <c r="E190" t="s">
        <v>888</v>
      </c>
      <c r="F190" s="24" t="s">
        <v>889</v>
      </c>
      <c r="G190" s="6" t="str">
        <f t="shared" si="8"/>
        <v>4/25</v>
      </c>
      <c r="H190" s="42">
        <v>2025</v>
      </c>
      <c r="I190" s="6" t="b">
        <f t="shared" si="7"/>
        <v>0</v>
      </c>
      <c r="J190" s="6"/>
      <c r="K190" t="s">
        <v>43</v>
      </c>
      <c r="L190" t="s">
        <v>44</v>
      </c>
      <c r="M190" t="s">
        <v>890</v>
      </c>
      <c r="U190"/>
      <c r="V190"/>
      <c r="W190"/>
      <c r="X190"/>
    </row>
    <row r="191" spans="1:24" ht="14.4" x14ac:dyDescent="0.3">
      <c r="A191" s="9" t="s">
        <v>891</v>
      </c>
      <c r="B191" s="3" t="s">
        <v>892</v>
      </c>
      <c r="C191" s="3" t="b">
        <f>COUNTIF('IDA country list'!B$2:B$79,'WORKING VERSION'!B191) = 1</f>
        <v>0</v>
      </c>
      <c r="D191" s="10" t="s">
        <v>893</v>
      </c>
      <c r="F191" s="14" t="s">
        <v>894</v>
      </c>
      <c r="G191" s="6" t="str">
        <f t="shared" si="8"/>
        <v/>
      </c>
      <c r="H191" s="42"/>
      <c r="I191" s="6" t="b">
        <f t="shared" si="7"/>
        <v>1</v>
      </c>
      <c r="J191" s="6"/>
      <c r="K191" t="s">
        <v>43</v>
      </c>
      <c r="L191" t="s">
        <v>895</v>
      </c>
      <c r="M191" t="s">
        <v>34</v>
      </c>
      <c r="U191"/>
      <c r="V191"/>
      <c r="W191"/>
      <c r="X191"/>
    </row>
    <row r="192" spans="1:24" ht="14.4" x14ac:dyDescent="0.3">
      <c r="A192" s="9" t="s">
        <v>896</v>
      </c>
      <c r="B192" s="3" t="s">
        <v>897</v>
      </c>
      <c r="C192" s="3" t="b">
        <f>COUNTIF('IDA country list'!B$2:B$79,'WORKING VERSION'!B192) = 1</f>
        <v>0</v>
      </c>
      <c r="D192" s="10" t="s">
        <v>898</v>
      </c>
      <c r="E192" t="s">
        <v>48</v>
      </c>
      <c r="F192" s="40" t="s">
        <v>899</v>
      </c>
      <c r="G192" s="6" t="str">
        <f t="shared" si="8"/>
        <v>2025</v>
      </c>
      <c r="H192" s="43">
        <v>2025</v>
      </c>
      <c r="I192" s="6" t="b">
        <f t="shared" si="7"/>
        <v>0</v>
      </c>
      <c r="J192" s="6"/>
      <c r="K192" t="s">
        <v>43</v>
      </c>
      <c r="L192" t="s">
        <v>57</v>
      </c>
      <c r="M192" t="s">
        <v>34</v>
      </c>
      <c r="U192"/>
      <c r="V192"/>
      <c r="W192"/>
      <c r="X192"/>
    </row>
    <row r="193" spans="1:24" ht="14.4" x14ac:dyDescent="0.3">
      <c r="A193" s="9" t="s">
        <v>900</v>
      </c>
      <c r="B193" s="3" t="s">
        <v>901</v>
      </c>
      <c r="C193" s="3" t="b">
        <f>COUNTIF('IDA country list'!B$2:B$79,'WORKING VERSION'!B193) = 1</f>
        <v>0</v>
      </c>
      <c r="D193" s="10" t="s">
        <v>26</v>
      </c>
      <c r="F193" s="47"/>
      <c r="G193" s="6" t="str">
        <f t="shared" si="8"/>
        <v/>
      </c>
      <c r="H193" s="42"/>
      <c r="I193" s="6" t="b">
        <f t="shared" si="7"/>
        <v>1</v>
      </c>
      <c r="J193" s="6"/>
      <c r="U193"/>
      <c r="V193"/>
      <c r="W193"/>
      <c r="X193"/>
    </row>
    <row r="194" spans="1:24" ht="14.4" x14ac:dyDescent="0.3">
      <c r="A194" s="9" t="s">
        <v>902</v>
      </c>
      <c r="B194" s="3" t="s">
        <v>903</v>
      </c>
      <c r="C194" s="3" t="b">
        <f>COUNTIF('IDA country list'!B$2:B$79,'WORKING VERSION'!B194) = 1</f>
        <v>1</v>
      </c>
      <c r="D194" s="10" t="s">
        <v>904</v>
      </c>
      <c r="E194" t="s">
        <v>334</v>
      </c>
      <c r="F194" s="14" t="s">
        <v>905</v>
      </c>
      <c r="G194" s="6" t="str">
        <f t="shared" si="8"/>
        <v>2025</v>
      </c>
      <c r="H194" s="43">
        <v>2025</v>
      </c>
      <c r="I194" s="6" t="b">
        <f t="shared" si="7"/>
        <v>0</v>
      </c>
      <c r="J194" s="6"/>
      <c r="K194" t="s">
        <v>43</v>
      </c>
      <c r="L194" t="s">
        <v>44</v>
      </c>
      <c r="M194" t="s">
        <v>906</v>
      </c>
      <c r="U194"/>
      <c r="V194"/>
      <c r="W194"/>
      <c r="X194"/>
    </row>
    <row r="195" spans="1:24" ht="14.4" x14ac:dyDescent="0.3">
      <c r="A195" s="45" t="s">
        <v>907</v>
      </c>
      <c r="B195" s="3" t="s">
        <v>908</v>
      </c>
      <c r="C195" s="3" t="b">
        <f>COUNTIF('IDA country list'!B$2:B$79,'WORKING VERSION'!B195) = 1</f>
        <v>1</v>
      </c>
      <c r="D195" s="47" t="s">
        <v>909</v>
      </c>
      <c r="E195" t="s">
        <v>108</v>
      </c>
      <c r="F195" s="50" t="s">
        <v>910</v>
      </c>
      <c r="G195" s="6" t="str">
        <f t="shared" si="8"/>
        <v>2025</v>
      </c>
      <c r="H195" s="43">
        <v>2025</v>
      </c>
      <c r="I195" s="6" t="b">
        <f t="shared" ref="I195:I204" si="9">H195&lt;2025</f>
        <v>0</v>
      </c>
      <c r="J195" s="6"/>
      <c r="K195" t="s">
        <v>43</v>
      </c>
      <c r="L195" t="s">
        <v>44</v>
      </c>
      <c r="M195" t="s">
        <v>34</v>
      </c>
      <c r="U195"/>
      <c r="V195"/>
      <c r="W195"/>
      <c r="X195"/>
    </row>
    <row r="196" spans="1:24" ht="14.4" x14ac:dyDescent="0.3">
      <c r="A196" s="17" t="s">
        <v>911</v>
      </c>
      <c r="B196" s="3" t="s">
        <v>912</v>
      </c>
      <c r="C196" s="3" t="b">
        <f>COUNTIF('IDA country list'!B$2:B$79,'WORKING VERSION'!B196) = 1</f>
        <v>0</v>
      </c>
      <c r="D196" s="18" t="s">
        <v>913</v>
      </c>
      <c r="E196" t="s">
        <v>914</v>
      </c>
      <c r="F196" s="8" t="s">
        <v>915</v>
      </c>
      <c r="G196" s="6" t="str">
        <f t="shared" si="8"/>
        <v>2013</v>
      </c>
      <c r="H196" s="43">
        <v>2013</v>
      </c>
      <c r="I196" s="6" t="b">
        <f t="shared" si="9"/>
        <v>1</v>
      </c>
      <c r="J196" s="6"/>
      <c r="K196" t="s">
        <v>43</v>
      </c>
      <c r="L196" t="s">
        <v>44</v>
      </c>
      <c r="M196" t="s">
        <v>34</v>
      </c>
      <c r="U196"/>
      <c r="V196"/>
      <c r="W196"/>
      <c r="X196"/>
    </row>
    <row r="197" spans="1:24" ht="14.4" x14ac:dyDescent="0.3">
      <c r="A197" s="19" t="s">
        <v>916</v>
      </c>
      <c r="B197" s="3" t="s">
        <v>917</v>
      </c>
      <c r="C197" s="3" t="b">
        <f>COUNTIF('IDA country list'!B$2:B$79,'WORKING VERSION'!B197) = 1</f>
        <v>0</v>
      </c>
      <c r="D197" s="19" t="s">
        <v>918</v>
      </c>
      <c r="E197" s="12" t="s">
        <v>919</v>
      </c>
      <c r="F197" s="16" t="s">
        <v>920</v>
      </c>
      <c r="G197" s="6" t="str">
        <f t="shared" si="8"/>
        <v>2020</v>
      </c>
      <c r="H197" s="43">
        <v>2020</v>
      </c>
      <c r="I197" s="6" t="b">
        <f t="shared" si="9"/>
        <v>1</v>
      </c>
      <c r="J197" s="6"/>
      <c r="K197" t="s">
        <v>43</v>
      </c>
      <c r="L197" t="s">
        <v>44</v>
      </c>
      <c r="M197" t="s">
        <v>34</v>
      </c>
      <c r="U197"/>
      <c r="V197"/>
      <c r="W197"/>
      <c r="X197"/>
    </row>
    <row r="198" spans="1:24" ht="14.4" x14ac:dyDescent="0.3">
      <c r="A198" s="19" t="s">
        <v>921</v>
      </c>
      <c r="B198" s="3" t="s">
        <v>922</v>
      </c>
      <c r="C198" s="3" t="b">
        <f>COUNTIF('IDA country list'!B$2:B$79,'WORKING VERSION'!B198) = 1</f>
        <v>1</v>
      </c>
      <c r="D198" s="19" t="s">
        <v>923</v>
      </c>
      <c r="E198" t="s">
        <v>61</v>
      </c>
      <c r="F198" s="24" t="s">
        <v>924</v>
      </c>
      <c r="G198" s="6" t="str">
        <f t="shared" si="8"/>
        <v>2028</v>
      </c>
      <c r="H198" s="43">
        <v>2028</v>
      </c>
      <c r="I198" s="6" t="b">
        <f t="shared" si="9"/>
        <v>0</v>
      </c>
      <c r="J198" s="6"/>
      <c r="K198" t="s">
        <v>43</v>
      </c>
      <c r="L198" t="s">
        <v>44</v>
      </c>
      <c r="M198" t="s">
        <v>43</v>
      </c>
      <c r="N198" t="s">
        <v>43</v>
      </c>
      <c r="O198" t="s">
        <v>925</v>
      </c>
      <c r="P198" t="s">
        <v>926</v>
      </c>
      <c r="Q198">
        <v>500000</v>
      </c>
      <c r="R198" t="s">
        <v>927</v>
      </c>
      <c r="S198" t="s">
        <v>928</v>
      </c>
      <c r="T198" t="s">
        <v>929</v>
      </c>
      <c r="U198"/>
      <c r="V198"/>
      <c r="W198"/>
      <c r="X198"/>
    </row>
    <row r="199" spans="1:24" ht="14.4" x14ac:dyDescent="0.3">
      <c r="A199" s="3" t="s">
        <v>930</v>
      </c>
      <c r="B199" s="3" t="s">
        <v>931</v>
      </c>
      <c r="C199" s="3" t="b">
        <f>COUNTIF('IDA country list'!B$2:B$79,'WORKING VERSION'!B199) = 1</f>
        <v>1</v>
      </c>
      <c r="D199" t="s">
        <v>932</v>
      </c>
      <c r="E199" t="s">
        <v>197</v>
      </c>
      <c r="F199" s="8" t="s">
        <v>933</v>
      </c>
      <c r="G199" s="6" t="str">
        <f t="shared" si="8"/>
        <v>2026</v>
      </c>
      <c r="H199" s="43">
        <v>2026</v>
      </c>
      <c r="I199" s="6" t="b">
        <f t="shared" si="9"/>
        <v>0</v>
      </c>
      <c r="J199" s="6"/>
      <c r="K199" t="s">
        <v>43</v>
      </c>
      <c r="L199" t="s">
        <v>44</v>
      </c>
      <c r="M199" t="s">
        <v>736</v>
      </c>
      <c r="N199" t="s">
        <v>34</v>
      </c>
      <c r="O199" t="s">
        <v>934</v>
      </c>
      <c r="P199" t="s">
        <v>34</v>
      </c>
      <c r="R199" t="s">
        <v>532</v>
      </c>
      <c r="T199" t="s">
        <v>34</v>
      </c>
      <c r="U199"/>
      <c r="V199"/>
      <c r="W199"/>
      <c r="X199"/>
    </row>
    <row r="200" spans="1:24" ht="14.4" x14ac:dyDescent="0.3">
      <c r="A200" s="3" t="s">
        <v>935</v>
      </c>
      <c r="B200" s="3" t="s">
        <v>936</v>
      </c>
      <c r="C200" s="3" t="b">
        <f>COUNTIF('IDA country list'!B$2:B$79,'WORKING VERSION'!B200) = 1</f>
        <v>1</v>
      </c>
      <c r="D200" t="s">
        <v>937</v>
      </c>
      <c r="E200">
        <v>2025</v>
      </c>
      <c r="F200" s="8" t="s">
        <v>938</v>
      </c>
      <c r="G200" s="6" t="str">
        <f t="shared" si="8"/>
        <v>2025</v>
      </c>
      <c r="H200" s="43">
        <v>2025</v>
      </c>
      <c r="I200" s="6" t="b">
        <f t="shared" si="9"/>
        <v>0</v>
      </c>
      <c r="J200" s="6"/>
      <c r="K200" t="s">
        <v>43</v>
      </c>
      <c r="L200" t="s">
        <v>44</v>
      </c>
      <c r="M200" t="s">
        <v>939</v>
      </c>
      <c r="U200"/>
      <c r="V200"/>
      <c r="W200"/>
      <c r="X200"/>
    </row>
    <row r="201" spans="1:24" ht="15" customHeight="1" x14ac:dyDescent="0.3">
      <c r="A201" s="11" t="s">
        <v>940</v>
      </c>
      <c r="B201" s="3" t="s">
        <v>941</v>
      </c>
      <c r="C201" s="3" t="b">
        <f>COUNTIF('IDA country list'!B$2:B$79,'WORKING VERSION'!B201) = 1</f>
        <v>1</v>
      </c>
      <c r="D201" t="s">
        <v>942</v>
      </c>
      <c r="E201" t="s">
        <v>826</v>
      </c>
      <c r="F201" s="37" t="s">
        <v>943</v>
      </c>
      <c r="G201" s="6" t="str">
        <f t="shared" si="8"/>
        <v>2010</v>
      </c>
      <c r="H201" s="43">
        <v>2010</v>
      </c>
      <c r="I201" s="6" t="b">
        <f t="shared" si="9"/>
        <v>1</v>
      </c>
      <c r="J201" s="6" t="b">
        <v>1</v>
      </c>
      <c r="K201" t="s">
        <v>34</v>
      </c>
      <c r="U201"/>
      <c r="V201"/>
      <c r="W201"/>
      <c r="X201"/>
    </row>
    <row r="202" spans="1:24" ht="15" customHeight="1" x14ac:dyDescent="0.3">
      <c r="A202" s="3" t="s">
        <v>944</v>
      </c>
      <c r="B202" s="3" t="s">
        <v>945</v>
      </c>
      <c r="C202" s="3" t="b">
        <f>COUNTIF('IDA country list'!B$2:B$79,'WORKING VERSION'!B202) = 1</f>
        <v>0</v>
      </c>
      <c r="D202" t="s">
        <v>946</v>
      </c>
      <c r="E202" t="s">
        <v>888</v>
      </c>
      <c r="F202" s="8" t="s">
        <v>947</v>
      </c>
      <c r="G202" s="6" t="str">
        <f t="shared" si="8"/>
        <v>4/25</v>
      </c>
      <c r="H202" s="42">
        <v>2025</v>
      </c>
      <c r="I202" s="6" t="b">
        <f t="shared" si="9"/>
        <v>0</v>
      </c>
      <c r="J202" s="6"/>
      <c r="K202" t="s">
        <v>43</v>
      </c>
      <c r="L202" t="s">
        <v>44</v>
      </c>
      <c r="M202" t="s">
        <v>34</v>
      </c>
      <c r="U202"/>
      <c r="V202"/>
      <c r="W202"/>
      <c r="X202"/>
    </row>
    <row r="203" spans="1:24" ht="15" customHeight="1" x14ac:dyDescent="0.3">
      <c r="A203" s="11" t="s">
        <v>948</v>
      </c>
      <c r="B203" s="3" t="s">
        <v>949</v>
      </c>
      <c r="C203" s="3" t="b">
        <f>COUNTIF('IDA country list'!B$2:B$79,'WORKING VERSION'!B203) = 1</f>
        <v>1</v>
      </c>
      <c r="D203" s="12" t="s">
        <v>950</v>
      </c>
      <c r="E203" t="s">
        <v>227</v>
      </c>
      <c r="F203" s="15" t="s">
        <v>951</v>
      </c>
      <c r="G203" s="6" t="str">
        <f t="shared" si="8"/>
        <v>2027</v>
      </c>
      <c r="H203" s="43">
        <v>2027</v>
      </c>
      <c r="I203" s="6" t="b">
        <f t="shared" si="9"/>
        <v>0</v>
      </c>
      <c r="J203" s="6"/>
      <c r="K203" t="s">
        <v>43</v>
      </c>
      <c r="L203" t="s">
        <v>44</v>
      </c>
      <c r="M203" t="s">
        <v>34</v>
      </c>
      <c r="U203"/>
      <c r="V203"/>
      <c r="W203"/>
      <c r="X203"/>
    </row>
    <row r="204" spans="1:24" ht="15" customHeight="1" x14ac:dyDescent="0.3">
      <c r="A204" s="59" t="s">
        <v>952</v>
      </c>
      <c r="B204" s="3" t="s">
        <v>953</v>
      </c>
      <c r="C204" s="3" t="b">
        <f>COUNTIF('IDA country list'!B$2:B$79,'WORKING VERSION'!B204) = 1</f>
        <v>1</v>
      </c>
      <c r="D204" s="12" t="s">
        <v>954</v>
      </c>
      <c r="E204" t="s">
        <v>108</v>
      </c>
      <c r="F204" s="15" t="s">
        <v>955</v>
      </c>
      <c r="G204" s="6" t="str">
        <f t="shared" si="8"/>
        <v>2025</v>
      </c>
      <c r="H204" s="43">
        <v>2025</v>
      </c>
      <c r="I204" s="6" t="b">
        <f t="shared" si="9"/>
        <v>0</v>
      </c>
      <c r="J204" s="58" t="b">
        <v>1</v>
      </c>
      <c r="K204" t="s">
        <v>43</v>
      </c>
      <c r="L204" t="s">
        <v>44</v>
      </c>
      <c r="M204" t="s">
        <v>43</v>
      </c>
      <c r="N204" t="s">
        <v>43</v>
      </c>
      <c r="O204" t="s">
        <v>110</v>
      </c>
      <c r="P204" t="s">
        <v>956</v>
      </c>
      <c r="Q204" s="29">
        <v>5538735</v>
      </c>
      <c r="R204" t="s">
        <v>957</v>
      </c>
      <c r="S204" t="s">
        <v>1009</v>
      </c>
      <c r="U204"/>
      <c r="V204"/>
      <c r="W204"/>
      <c r="X204"/>
    </row>
  </sheetData>
  <autoFilter ref="A1:X204" xr:uid="{FDAB8104-E378-0546-94D8-704DCFB02072}"/>
  <conditionalFormatting sqref="A186">
    <cfRule type="duplicateValues" dxfId="10" priority="9"/>
  </conditionalFormatting>
  <conditionalFormatting sqref="A187">
    <cfRule type="duplicateValues" dxfId="9" priority="11"/>
  </conditionalFormatting>
  <conditionalFormatting sqref="A198:A199">
    <cfRule type="duplicateValues" dxfId="8" priority="10"/>
  </conditionalFormatting>
  <conditionalFormatting sqref="B1:B1048576">
    <cfRule type="duplicateValues" dxfId="7" priority="1"/>
  </conditionalFormatting>
  <conditionalFormatting sqref="B2:C204">
    <cfRule type="expression" dxfId="6" priority="2">
      <formula>"MATCH(B2, 'IDA country list'!$B:$B, 0)"</formula>
    </cfRule>
  </conditionalFormatting>
  <conditionalFormatting sqref="B1:D1">
    <cfRule type="duplicateValues" dxfId="5" priority="12"/>
    <cfRule type="duplicateValues" dxfId="4" priority="13"/>
    <cfRule type="duplicateValues" dxfId="3" priority="14"/>
  </conditionalFormatting>
  <conditionalFormatting sqref="T1048401 T1:X1">
    <cfRule type="duplicateValues" dxfId="2" priority="5"/>
    <cfRule type="duplicateValues" dxfId="1" priority="6"/>
    <cfRule type="duplicateValues" dxfId="0" priority="7"/>
  </conditionalFormatting>
  <hyperlinks>
    <hyperlink ref="F201" r:id="rId1" display="http://www.cso-yemen.org/publication/smp/english.pdf" xr:uid="{AD1686BC-0819-2B4C-A8A7-C8E2BAE9E8BC}"/>
    <hyperlink ref="F190" r:id="rId2" xr:uid="{B05C78C5-EFA0-5443-92CD-72198F3A9335}"/>
    <hyperlink ref="F191" r:id="rId3" xr:uid="{5EDD09D8-5263-5342-AF98-CC688254765B}"/>
    <hyperlink ref="F65" r:id="rId4" xr:uid="{ABB65ECE-822E-A44D-9CB3-99B128ED4C72}"/>
    <hyperlink ref="F192" r:id="rId5" xr:uid="{6B93D32C-551E-704D-8CF2-E03F446478D0}"/>
    <hyperlink ref="F194" r:id="rId6" xr:uid="{158809C1-EDCB-8E43-9605-FFF7D01C028A}"/>
    <hyperlink ref="F197" r:id="rId7" xr:uid="{2E5187E5-3F35-F646-9C6F-AFA175D416FD}"/>
    <hyperlink ref="F179" r:id="rId8" display="http://osthailand.nic.go.th/files/policy_sector/File_Download/masterplan2559-2565.pdf" xr:uid="{A75FF399-B2D7-1342-B385-C2AF4B2DEB8C}"/>
    <hyperlink ref="F6" r:id="rId9" xr:uid="{37A6225B-0E8D-404F-9DA2-A5D432413E99}"/>
    <hyperlink ref="F9" r:id="rId10" xr:uid="{158E3E15-8462-4F90-AC38-70FFA2522AD2}"/>
    <hyperlink ref="F12" r:id="rId11" xr:uid="{4C377A41-9E7D-47F4-8B1C-773FC7F7D39B}"/>
    <hyperlink ref="F14" r:id="rId12" xr:uid="{81C28AFF-0D88-4035-9FE0-A93BE9BA9008}"/>
    <hyperlink ref="F19" r:id="rId13" xr:uid="{F84D5111-E71D-4DBE-8336-F39EE75F001C}"/>
    <hyperlink ref="F13" r:id="rId14" xr:uid="{B42FDE42-4138-47EE-86F9-BCDB886E9671}"/>
    <hyperlink ref="F24" r:id="rId15" xr:uid="{B6678309-7593-4BD4-BA44-43F4E085D44C}"/>
    <hyperlink ref="F189" r:id="rId16" xr:uid="{7F15210F-8CB0-47BF-A492-92969DBE26E4}"/>
    <hyperlink ref="F175" r:id="rId17" xr:uid="{DE94F4A8-BA13-4532-BA77-73BB01CDB368}"/>
    <hyperlink ref="F23" r:id="rId18" xr:uid="{30620361-631F-44DE-89C6-6FBE77DD2D0C}"/>
    <hyperlink ref="F20" r:id="rId19" xr:uid="{AC0847A1-CD15-4A11-8F1B-02ACE51315B9}"/>
    <hyperlink ref="F80" r:id="rId20" xr:uid="{709DF02D-A230-489A-9306-7D05F2E22317}"/>
    <hyperlink ref="F102" r:id="rId21" xr:uid="{C0A9F50F-6CBB-4F3B-934C-165136AF0F25}"/>
    <hyperlink ref="F113" r:id="rId22" xr:uid="{9285CEBA-FA27-4806-92C5-2A94A2528C68}"/>
    <hyperlink ref="F17" r:id="rId23" xr:uid="{35E9560E-C346-4B98-A448-538B5C2C7655}"/>
    <hyperlink ref="F26" r:id="rId24" xr:uid="{5D7CEDA3-2641-40FD-B261-28D366171694}"/>
    <hyperlink ref="F57" r:id="rId25" xr:uid="{FD9517BA-79D8-48BE-973C-1DDF8535DA68}"/>
    <hyperlink ref="F110" r:id="rId26" xr:uid="{1779AC0D-4A94-49BF-9B6E-7293C7A2419A}"/>
    <hyperlink ref="F31" r:id="rId27" xr:uid="{BE69A301-1CF9-4387-B91C-C9E5A9F0A259}"/>
    <hyperlink ref="F27" r:id="rId28" xr:uid="{6E8C46E7-E1A1-4014-90C3-89F516EF518B}"/>
    <hyperlink ref="F18" r:id="rId29" xr:uid="{B40209F1-7F7E-4386-8901-F1AEA8A07855}"/>
    <hyperlink ref="F15" r:id="rId30" xr:uid="{5CF5B814-933C-42F5-A96C-0C5A4BF7AEEA}"/>
    <hyperlink ref="F98" r:id="rId31" xr:uid="{036D64E8-AA68-4458-8048-D660776310BF}"/>
    <hyperlink ref="F124" r:id="rId32" xr:uid="{E1301F17-EB04-46A3-9084-7D35471F8127}"/>
    <hyperlink ref="F129" r:id="rId33" xr:uid="{E77A34DF-9C2D-4C47-8A05-98C19A345FAF}"/>
    <hyperlink ref="F130" r:id="rId34" xr:uid="{80B6A35A-61CC-4A82-B39F-9BC0E592A721}"/>
    <hyperlink ref="F111" r:id="rId35" xr:uid="{FD6A4621-FE29-4C8C-A2EB-DB4C201D187C}"/>
    <hyperlink ref="F41" r:id="rId36" xr:uid="{D83988C3-0CD8-4963-9E1E-07297C11C4D5}"/>
    <hyperlink ref="F39" r:id="rId37" xr:uid="{4B4D5FCB-6F0C-4ECC-A242-8A28F2938D14}"/>
    <hyperlink ref="F44" r:id="rId38" xr:uid="{99BCA2A7-7597-4435-B877-3A56CE49D3C3}"/>
    <hyperlink ref="F133" r:id="rId39" xr:uid="{BFFFF6CB-7708-4C2E-A287-705ACE4C0234}"/>
    <hyperlink ref="F141" r:id="rId40" xr:uid="{D7B7B26D-4E8F-44F7-B3FD-E69AB4F82095}"/>
    <hyperlink ref="F122" r:id="rId41" xr:uid="{F9112385-6404-45A7-B49C-DA4BAE2C76FF}"/>
    <hyperlink ref="F138" r:id="rId42" xr:uid="{B47109A6-64D3-43FD-9A80-56E216E56EA7}"/>
    <hyperlink ref="F144" r:id="rId43" xr:uid="{78294F17-FE73-4AEA-A5EC-305BB30C2504}"/>
    <hyperlink ref="F152" r:id="rId44" xr:uid="{E0EDB631-9E08-4EB6-ACDA-4A756C7EE483}"/>
    <hyperlink ref="F151" r:id="rId45" xr:uid="{90496CD8-9C94-498F-B7A4-DE1384FCF32B}"/>
    <hyperlink ref="F186" r:id="rId46" xr:uid="{AFB6E165-A25C-4ECD-9F36-B0F2A2990E0F}"/>
    <hyperlink ref="F187" r:id="rId47" xr:uid="{CF455E2A-0AFA-4271-BC4D-4B2D7B52180A}"/>
    <hyperlink ref="F52" r:id="rId48" xr:uid="{5AD07D9E-EF5C-4BC5-83CC-95B7590B6816}"/>
    <hyperlink ref="F54" r:id="rId49" xr:uid="{7D4FFC21-C674-4E90-B151-D5E22218E777}"/>
    <hyperlink ref="F62" r:id="rId50" xr:uid="{B0419389-A2D4-40A6-8EC4-0D352C1F84C5}"/>
    <hyperlink ref="F48" r:id="rId51" xr:uid="{62A0DF08-F509-4A08-BC85-AD8415481FC3}"/>
    <hyperlink ref="F68" r:id="rId52" xr:uid="{CDD0143A-ADA3-418C-A83A-5B5D9C19F053}"/>
    <hyperlink ref="F69" r:id="rId53" xr:uid="{A80FF04F-D040-4F72-AF23-6501F51C48BA}"/>
    <hyperlink ref="F71" r:id="rId54" xr:uid="{37B42DE3-F308-4233-B3B4-D4B3EA64BFAC}"/>
    <hyperlink ref="F78" r:id="rId55" xr:uid="{DE0A2F4A-F5C3-40B4-AE1F-2519DB2306BD}"/>
    <hyperlink ref="F85" r:id="rId56" xr:uid="{54A488D5-CEF7-4D3E-90DD-68CE2270B190}"/>
    <hyperlink ref="F167" r:id="rId57" xr:uid="{0EE3D6D7-6F94-4F7B-A9AA-FA48EB0A5C1B}"/>
    <hyperlink ref="F84" r:id="rId58" xr:uid="{78B15661-1395-41AE-9CEF-6BF3B6C82F17}"/>
    <hyperlink ref="F83" r:id="rId59" xr:uid="{6C71CC5C-BEB9-4980-B4B2-A923CFB0003E}"/>
    <hyperlink ref="F87" r:id="rId60" xr:uid="{3D75B5E2-2F18-47DE-97A1-EDAC0B7075EA}"/>
    <hyperlink ref="F92" r:id="rId61" xr:uid="{25F0BA24-1AE9-4581-BAC8-AAE1535770A1}"/>
    <hyperlink ref="F96" r:id="rId62" xr:uid="{F34A1289-51E5-48BC-B150-04EABAB63A39}"/>
    <hyperlink ref="F97" r:id="rId63" location=":~:text=The%20Medium%2Dterm%20Program%20for%20Development%20of%20Official,the%20Kyrgyz%20Republic%20of%2031%20October%202018." xr:uid="{8FBB5A40-0F4B-4286-83A9-28F4CD86AA76}"/>
    <hyperlink ref="F106" r:id="rId64" xr:uid="{44CD5A1B-6D88-49AE-8BE9-3B5C1F5DC878}"/>
    <hyperlink ref="F183" r:id="rId65" xr:uid="{7661ED84-A064-40EA-ABE3-695E93187A25}"/>
    <hyperlink ref="F34" r:id="rId66" xr:uid="{42597D5A-56A8-43C8-95DE-0A3FE5B6BF6E}"/>
    <hyperlink ref="F107" r:id="rId67" xr:uid="{CF34C9D8-95DD-4CC8-B468-4C2EB5DA5E4F}"/>
    <hyperlink ref="F131" r:id="rId68" xr:uid="{1B0868F0-FBA4-4CE1-8DB4-600ACEDF4D7E}"/>
    <hyperlink ref="F178" r:id="rId69" xr:uid="{939596AD-EAE4-4628-9C9F-4512F7537167}"/>
    <hyperlink ref="F182" r:id="rId70" xr:uid="{ABAA954E-5D37-4296-B0BE-AEEDE82686C7}"/>
    <hyperlink ref="F157" r:id="rId71" xr:uid="{F19A3F55-F683-4F2A-871A-7CFEF0A177F9}"/>
    <hyperlink ref="F154" r:id="rId72" xr:uid="{1B385A52-72E6-4896-BC9B-716416D0172B}"/>
    <hyperlink ref="F119" r:id="rId73" xr:uid="{46C3CD45-030B-4732-AE86-314B1A4D9B72}"/>
    <hyperlink ref="F132" r:id="rId74" xr:uid="{D8E41E2B-BD03-4F3B-A570-8F7371D343C8}"/>
    <hyperlink ref="F123" r:id="rId75" xr:uid="{7B772690-6F82-42F6-B215-D233603C40C6}"/>
    <hyperlink ref="F120" r:id="rId76" xr:uid="{E72BEC9F-FE67-4681-BA02-DCD4D33A5DA8}"/>
    <hyperlink ref="F127" r:id="rId77" xr:uid="{92228A4F-18F5-4534-B3B7-108924D09274}"/>
    <hyperlink ref="F126" r:id="rId78" xr:uid="{CEDB73F0-BEC6-441B-9593-4EA944D392BC}"/>
    <hyperlink ref="F128" r:id="rId79" xr:uid="{0BC002E7-C80F-4993-B968-8FBC9E762A1B}"/>
    <hyperlink ref="F125" r:id="rId80" xr:uid="{003D8FDB-2B55-496C-9A4A-D7B6D17F200A}"/>
    <hyperlink ref="F139" r:id="rId81" xr:uid="{99239649-1DE6-4682-9A9D-53B6927DED36}"/>
    <hyperlink ref="F117" r:id="rId82" xr:uid="{26FA9EFD-8605-437D-B26A-21D9C4590C8A}"/>
    <hyperlink ref="F143" r:id="rId83" xr:uid="{6CDB624C-9D8E-41E9-930B-E405413145EE}"/>
    <hyperlink ref="F135" r:id="rId84" xr:uid="{416625DD-FA4E-4138-BBA2-E9FDFD6F4979}"/>
    <hyperlink ref="F153" r:id="rId85" xr:uid="{9F2CD048-E921-4C3A-B863-CE621A669EFA}"/>
    <hyperlink ref="F145" r:id="rId86" xr:uid="{49165AAD-02F9-4BAA-8494-DAAA362A61F5}"/>
    <hyperlink ref="F199" r:id="rId87" location="dearflip-df_4736/13/" xr:uid="{CFD694CB-B7FD-48F5-8E83-B82665917EFC}"/>
    <hyperlink ref="F166" r:id="rId88" xr:uid="{4BD29EB9-7D17-4DA5-A5AC-B12188ED21FD}"/>
    <hyperlink ref="F148" r:id="rId89" xr:uid="{15D1B34A-1AD6-45CC-B25F-562104C791E8}"/>
    <hyperlink ref="F67" r:id="rId90" xr:uid="{1FECC64E-AD45-4890-8D57-FFB1DDF6428F}"/>
    <hyperlink ref="F162" r:id="rId91" xr:uid="{6B3AC899-CC12-4C0C-81FB-D8FB0C2D265E}"/>
    <hyperlink ref="F158" r:id="rId92" xr:uid="{22CEB7D3-79C5-4A84-8721-18A10E59D625}"/>
    <hyperlink ref="F169" r:id="rId93" xr:uid="{BB50349D-B00E-4A8B-A045-8ABA404083E9}"/>
    <hyperlink ref="F160" r:id="rId94" xr:uid="{B04F967D-0B90-45BF-8A13-FAAFA7B83EF0}"/>
    <hyperlink ref="F202" r:id="rId95" xr:uid="{35BF9856-3ABD-4876-86EF-2FE70B74DAEA}"/>
    <hyperlink ref="F168" r:id="rId96" xr:uid="{BE9CB289-AE65-4200-9D93-48121424D8F6}"/>
    <hyperlink ref="F146" r:id="rId97" xr:uid="{A2EA8C8A-064A-4194-BF59-7350AAE32E71}"/>
    <hyperlink ref="F156" r:id="rId98" xr:uid="{CE3D6884-27BB-4C7C-9F2F-2DACD1B6B411}"/>
    <hyperlink ref="F195" r:id="rId99" xr:uid="{B88745CB-9505-4D87-9A2F-77249855F869}"/>
    <hyperlink ref="F173" r:id="rId100" xr:uid="{A8C74F4E-19AD-4A70-911A-67B711C523EB}"/>
    <hyperlink ref="F196" r:id="rId101" xr:uid="{09471545-8DB5-4D55-8FF6-BF0D34B2160B}"/>
    <hyperlink ref="F59" r:id="rId102" xr:uid="{05ACB159-4961-4B7D-9545-C069FEC56F5D}"/>
    <hyperlink ref="F112" r:id="rId103" xr:uid="{DFF58678-D77C-40AA-A359-826CA18393FC}"/>
    <hyperlink ref="F155" r:id="rId104" xr:uid="{09472039-AB9B-4DE9-BDE5-08BC580ED3E7}"/>
    <hyperlink ref="F38" r:id="rId105" xr:uid="{9E41531F-BF94-44E6-8EB8-0C35D2C49206}"/>
    <hyperlink ref="F32" r:id="rId106" xr:uid="{32D1FE90-0F43-4F41-A5D7-898BDF9214A2}"/>
    <hyperlink ref="F40" r:id="rId107" xr:uid="{4C9AB55E-3CD3-4CB5-8897-B6659F758E73}"/>
    <hyperlink ref="F72" r:id="rId108" xr:uid="{43D0DA76-705B-4CE2-BBF0-A96996305C67}"/>
    <hyperlink ref="F134" r:id="rId109" xr:uid="{67824EEB-1A25-4C5F-827F-1C64938D1DF0}"/>
    <hyperlink ref="F95" r:id="rId110" xr:uid="{FE9C9853-FB72-458F-8B35-E749089BD8D1}"/>
    <hyperlink ref="F30" r:id="rId111" xr:uid="{6068D742-E019-47DB-9041-6B9EA32D3F76}"/>
  </hyperlinks>
  <pageMargins left="0.7" right="0.7" top="0.75" bottom="0.75" header="0.3" footer="0.3"/>
  <pageSetup orientation="portrait" horizontalDpi="0" verticalDpi="0"/>
  <legacyDrawing r:id="rId1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014AD-A9E3-4D26-804B-9038F0BB5471}">
  <dimension ref="A1:C9"/>
  <sheetViews>
    <sheetView workbookViewId="0">
      <selection activeCell="C4" sqref="C4"/>
    </sheetView>
  </sheetViews>
  <sheetFormatPr defaultRowHeight="14.4" x14ac:dyDescent="0.3"/>
  <sheetData>
    <row r="1" spans="1:3" x14ac:dyDescent="0.3">
      <c r="A1" t="s">
        <v>958</v>
      </c>
      <c r="B1" t="s">
        <v>959</v>
      </c>
      <c r="C1" t="s">
        <v>960</v>
      </c>
    </row>
    <row r="2" spans="1:3" x14ac:dyDescent="0.3">
      <c r="A2" t="s">
        <v>458</v>
      </c>
      <c r="B2" t="s">
        <v>459</v>
      </c>
      <c r="C2" t="s">
        <v>961</v>
      </c>
    </row>
    <row r="3" spans="1:3" x14ac:dyDescent="0.3">
      <c r="A3" t="s">
        <v>341</v>
      </c>
      <c r="B3" t="s">
        <v>342</v>
      </c>
      <c r="C3" t="s">
        <v>350</v>
      </c>
    </row>
    <row r="4" spans="1:3" x14ac:dyDescent="0.3">
      <c r="A4" t="s">
        <v>556</v>
      </c>
      <c r="B4" t="s">
        <v>557</v>
      </c>
      <c r="C4" t="s">
        <v>962</v>
      </c>
    </row>
    <row r="5" spans="1:3" x14ac:dyDescent="0.3">
      <c r="A5" t="s">
        <v>273</v>
      </c>
      <c r="B5" t="s">
        <v>274</v>
      </c>
      <c r="C5" t="s">
        <v>963</v>
      </c>
    </row>
    <row r="6" spans="1:3" x14ac:dyDescent="0.3">
      <c r="A6" t="s">
        <v>708</v>
      </c>
      <c r="B6" t="s">
        <v>709</v>
      </c>
      <c r="C6" t="s">
        <v>964</v>
      </c>
    </row>
    <row r="7" spans="1:3" x14ac:dyDescent="0.3">
      <c r="A7" t="s">
        <v>336</v>
      </c>
      <c r="B7" t="s">
        <v>337</v>
      </c>
      <c r="C7" t="s">
        <v>965</v>
      </c>
    </row>
    <row r="8" spans="1:3" x14ac:dyDescent="0.3">
      <c r="A8" t="s">
        <v>966</v>
      </c>
      <c r="B8" t="s">
        <v>967</v>
      </c>
      <c r="C8" t="s">
        <v>968</v>
      </c>
    </row>
    <row r="9" spans="1:3" x14ac:dyDescent="0.3">
      <c r="A9" t="s">
        <v>969</v>
      </c>
      <c r="B9" t="s">
        <v>970</v>
      </c>
      <c r="C9" t="s">
        <v>971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2AE6C-0AB0-4E75-A2F2-3C2379C3C683}">
  <dimension ref="A1:N79"/>
  <sheetViews>
    <sheetView topLeftCell="A62" workbookViewId="0">
      <selection activeCell="A32" sqref="A32"/>
    </sheetView>
  </sheetViews>
  <sheetFormatPr defaultRowHeight="14.4" x14ac:dyDescent="0.3"/>
  <sheetData>
    <row r="1" spans="1:14" x14ac:dyDescent="0.3">
      <c r="A1" t="s">
        <v>958</v>
      </c>
      <c r="B1" t="s">
        <v>972</v>
      </c>
      <c r="C1" t="s">
        <v>973</v>
      </c>
      <c r="D1" t="s">
        <v>974</v>
      </c>
      <c r="E1" t="s">
        <v>975</v>
      </c>
    </row>
    <row r="2" spans="1:14" x14ac:dyDescent="0.3">
      <c r="A2" t="s">
        <v>27</v>
      </c>
      <c r="B2" t="s">
        <v>28</v>
      </c>
      <c r="C2" t="s">
        <v>976</v>
      </c>
      <c r="D2" t="s">
        <v>977</v>
      </c>
      <c r="E2" t="s">
        <v>978</v>
      </c>
      <c r="J2" t="s">
        <v>28</v>
      </c>
      <c r="K2" t="b">
        <f>J2=H2</f>
        <v>0</v>
      </c>
      <c r="N2" t="s">
        <v>115</v>
      </c>
    </row>
    <row r="3" spans="1:14" x14ac:dyDescent="0.3">
      <c r="A3" t="s">
        <v>114</v>
      </c>
      <c r="B3" t="s">
        <v>115</v>
      </c>
      <c r="C3" t="s">
        <v>979</v>
      </c>
      <c r="D3" t="s">
        <v>980</v>
      </c>
      <c r="E3" t="s">
        <v>978</v>
      </c>
      <c r="H3" t="s">
        <v>82</v>
      </c>
      <c r="J3" t="s">
        <v>82</v>
      </c>
      <c r="K3" t="b">
        <f t="shared" ref="K3:K66" si="0">J3=H3</f>
        <v>1</v>
      </c>
      <c r="N3" t="s">
        <v>147</v>
      </c>
    </row>
    <row r="4" spans="1:14" x14ac:dyDescent="0.3">
      <c r="A4" t="s">
        <v>146</v>
      </c>
      <c r="B4" t="s">
        <v>147</v>
      </c>
      <c r="C4" t="s">
        <v>981</v>
      </c>
      <c r="D4" t="s">
        <v>982</v>
      </c>
      <c r="E4" t="s">
        <v>983</v>
      </c>
      <c r="H4" t="s">
        <v>97</v>
      </c>
      <c r="J4" t="s">
        <v>97</v>
      </c>
      <c r="K4" t="b">
        <f t="shared" si="0"/>
        <v>1</v>
      </c>
      <c r="N4" t="s">
        <v>97</v>
      </c>
    </row>
    <row r="5" spans="1:14" x14ac:dyDescent="0.3">
      <c r="A5" t="s">
        <v>96</v>
      </c>
      <c r="B5" t="s">
        <v>97</v>
      </c>
      <c r="C5" t="s">
        <v>984</v>
      </c>
      <c r="D5" t="s">
        <v>980</v>
      </c>
      <c r="E5" t="s">
        <v>978</v>
      </c>
      <c r="H5" t="s">
        <v>106</v>
      </c>
      <c r="J5" t="s">
        <v>106</v>
      </c>
      <c r="K5" t="b">
        <f t="shared" si="0"/>
        <v>1</v>
      </c>
      <c r="N5" t="s">
        <v>170</v>
      </c>
    </row>
    <row r="6" spans="1:14" x14ac:dyDescent="0.3">
      <c r="A6" t="s">
        <v>169</v>
      </c>
      <c r="B6" t="s">
        <v>170</v>
      </c>
      <c r="C6" t="s">
        <v>979</v>
      </c>
      <c r="D6" t="s">
        <v>980</v>
      </c>
      <c r="E6" t="s">
        <v>978</v>
      </c>
      <c r="H6" t="s">
        <v>115</v>
      </c>
      <c r="J6" t="s">
        <v>115</v>
      </c>
      <c r="K6" t="b">
        <f t="shared" si="0"/>
        <v>1</v>
      </c>
      <c r="N6" t="s">
        <v>106</v>
      </c>
    </row>
    <row r="7" spans="1:14" x14ac:dyDescent="0.3">
      <c r="A7" t="s">
        <v>105</v>
      </c>
      <c r="B7" t="s">
        <v>106</v>
      </c>
      <c r="C7" t="s">
        <v>984</v>
      </c>
      <c r="D7" t="s">
        <v>977</v>
      </c>
      <c r="E7" t="s">
        <v>978</v>
      </c>
      <c r="H7" t="s">
        <v>147</v>
      </c>
      <c r="J7" t="s">
        <v>147</v>
      </c>
      <c r="K7" t="b">
        <f t="shared" si="0"/>
        <v>1</v>
      </c>
      <c r="N7" t="s">
        <v>82</v>
      </c>
    </row>
    <row r="8" spans="1:14" x14ac:dyDescent="0.3">
      <c r="A8" t="s">
        <v>81</v>
      </c>
      <c r="B8" t="s">
        <v>82</v>
      </c>
      <c r="C8" t="s">
        <v>984</v>
      </c>
      <c r="D8" t="s">
        <v>977</v>
      </c>
      <c r="E8" t="s">
        <v>978</v>
      </c>
      <c r="H8" t="s">
        <v>170</v>
      </c>
      <c r="J8" t="s">
        <v>170</v>
      </c>
      <c r="K8" t="b">
        <f t="shared" si="0"/>
        <v>1</v>
      </c>
      <c r="N8" t="s">
        <v>232</v>
      </c>
    </row>
    <row r="9" spans="1:14" x14ac:dyDescent="0.3">
      <c r="A9" t="s">
        <v>231</v>
      </c>
      <c r="B9" t="s">
        <v>232</v>
      </c>
      <c r="C9" t="s">
        <v>984</v>
      </c>
      <c r="D9" t="s">
        <v>982</v>
      </c>
      <c r="E9" t="s">
        <v>983</v>
      </c>
      <c r="H9" t="s">
        <v>180</v>
      </c>
      <c r="J9" t="s">
        <v>180</v>
      </c>
      <c r="K9" t="b">
        <f t="shared" si="0"/>
        <v>1</v>
      </c>
      <c r="N9" t="s">
        <v>474</v>
      </c>
    </row>
    <row r="10" spans="1:14" x14ac:dyDescent="0.3">
      <c r="A10" t="s">
        <v>473</v>
      </c>
      <c r="B10" t="s">
        <v>474</v>
      </c>
      <c r="C10" t="s">
        <v>985</v>
      </c>
      <c r="D10" t="s">
        <v>980</v>
      </c>
      <c r="E10" t="s">
        <v>978</v>
      </c>
      <c r="H10" t="s">
        <v>203</v>
      </c>
      <c r="J10" t="s">
        <v>203</v>
      </c>
      <c r="K10" t="b">
        <f t="shared" si="0"/>
        <v>1</v>
      </c>
      <c r="N10" t="s">
        <v>207</v>
      </c>
    </row>
    <row r="11" spans="1:14" x14ac:dyDescent="0.3">
      <c r="A11" t="s">
        <v>206</v>
      </c>
      <c r="B11" t="s">
        <v>207</v>
      </c>
      <c r="C11" t="s">
        <v>984</v>
      </c>
      <c r="D11" t="s">
        <v>980</v>
      </c>
      <c r="E11" t="s">
        <v>983</v>
      </c>
      <c r="H11" t="s">
        <v>207</v>
      </c>
      <c r="J11" t="s">
        <v>207</v>
      </c>
      <c r="K11" t="b">
        <f t="shared" si="0"/>
        <v>1</v>
      </c>
      <c r="N11" t="s">
        <v>180</v>
      </c>
    </row>
    <row r="12" spans="1:14" x14ac:dyDescent="0.3">
      <c r="A12" t="s">
        <v>179</v>
      </c>
      <c r="B12" t="s">
        <v>180</v>
      </c>
      <c r="C12" t="s">
        <v>984</v>
      </c>
      <c r="D12" t="s">
        <v>977</v>
      </c>
      <c r="E12" t="s">
        <v>978</v>
      </c>
      <c r="H12" t="s">
        <v>213</v>
      </c>
      <c r="J12" t="s">
        <v>213</v>
      </c>
      <c r="K12" t="b">
        <f t="shared" si="0"/>
        <v>1</v>
      </c>
      <c r="N12" t="s">
        <v>828</v>
      </c>
    </row>
    <row r="13" spans="1:14" x14ac:dyDescent="0.3">
      <c r="A13" t="s">
        <v>827</v>
      </c>
      <c r="B13" t="s">
        <v>828</v>
      </c>
      <c r="C13" t="s">
        <v>984</v>
      </c>
      <c r="D13" t="s">
        <v>977</v>
      </c>
      <c r="E13" t="s">
        <v>978</v>
      </c>
      <c r="H13" t="s">
        <v>218</v>
      </c>
      <c r="J13" t="s">
        <v>218</v>
      </c>
      <c r="K13" t="b">
        <f t="shared" si="0"/>
        <v>1</v>
      </c>
      <c r="N13" t="s">
        <v>213</v>
      </c>
    </row>
    <row r="14" spans="1:14" x14ac:dyDescent="0.3">
      <c r="A14" t="s">
        <v>229</v>
      </c>
      <c r="B14" t="s">
        <v>230</v>
      </c>
      <c r="C14" t="s">
        <v>984</v>
      </c>
      <c r="D14" t="s">
        <v>980</v>
      </c>
      <c r="E14" t="s">
        <v>978</v>
      </c>
      <c r="J14" t="s">
        <v>230</v>
      </c>
      <c r="K14" t="b">
        <f t="shared" si="0"/>
        <v>0</v>
      </c>
      <c r="N14" t="s">
        <v>218</v>
      </c>
    </row>
    <row r="15" spans="1:14" x14ac:dyDescent="0.3">
      <c r="A15" t="s">
        <v>212</v>
      </c>
      <c r="B15" t="s">
        <v>213</v>
      </c>
      <c r="C15" t="s">
        <v>984</v>
      </c>
      <c r="D15" t="s">
        <v>977</v>
      </c>
      <c r="E15" t="s">
        <v>978</v>
      </c>
      <c r="H15" t="s">
        <v>232</v>
      </c>
      <c r="J15" t="s">
        <v>232</v>
      </c>
      <c r="K15" t="b">
        <f t="shared" si="0"/>
        <v>1</v>
      </c>
      <c r="N15" t="s">
        <v>203</v>
      </c>
    </row>
    <row r="16" spans="1:14" x14ac:dyDescent="0.3">
      <c r="A16" t="s">
        <v>217</v>
      </c>
      <c r="B16" t="s">
        <v>218</v>
      </c>
      <c r="C16" t="s">
        <v>984</v>
      </c>
      <c r="D16" t="s">
        <v>980</v>
      </c>
      <c r="E16" t="s">
        <v>983</v>
      </c>
      <c r="H16" t="s">
        <v>261</v>
      </c>
      <c r="J16" t="s">
        <v>261</v>
      </c>
      <c r="K16" t="b">
        <f t="shared" si="0"/>
        <v>1</v>
      </c>
      <c r="N16" t="s">
        <v>261</v>
      </c>
    </row>
    <row r="17" spans="1:14" x14ac:dyDescent="0.3">
      <c r="A17" t="s">
        <v>986</v>
      </c>
      <c r="B17" t="s">
        <v>203</v>
      </c>
      <c r="C17" t="s">
        <v>984</v>
      </c>
      <c r="D17" t="s">
        <v>980</v>
      </c>
      <c r="E17" t="s">
        <v>983</v>
      </c>
      <c r="H17" t="s">
        <v>268</v>
      </c>
      <c r="J17" t="s">
        <v>268</v>
      </c>
      <c r="K17" t="b">
        <f t="shared" si="0"/>
        <v>1</v>
      </c>
      <c r="N17" t="s">
        <v>268</v>
      </c>
    </row>
    <row r="18" spans="1:14" x14ac:dyDescent="0.3">
      <c r="A18" t="s">
        <v>260</v>
      </c>
      <c r="B18" t="s">
        <v>261</v>
      </c>
      <c r="C18" t="s">
        <v>976</v>
      </c>
      <c r="D18" t="s">
        <v>980</v>
      </c>
      <c r="E18" t="s">
        <v>978</v>
      </c>
      <c r="J18" t="s">
        <v>289</v>
      </c>
      <c r="K18" t="b">
        <f t="shared" si="0"/>
        <v>0</v>
      </c>
      <c r="N18" t="s">
        <v>813</v>
      </c>
    </row>
    <row r="19" spans="1:14" x14ac:dyDescent="0.3">
      <c r="A19" t="s">
        <v>267</v>
      </c>
      <c r="B19" t="s">
        <v>268</v>
      </c>
      <c r="C19" t="s">
        <v>981</v>
      </c>
      <c r="D19" t="s">
        <v>982</v>
      </c>
      <c r="E19" t="s">
        <v>983</v>
      </c>
      <c r="H19" t="s">
        <v>305</v>
      </c>
      <c r="J19" t="s">
        <v>305</v>
      </c>
      <c r="K19" t="b">
        <f t="shared" si="0"/>
        <v>1</v>
      </c>
      <c r="N19" t="s">
        <v>305</v>
      </c>
    </row>
    <row r="20" spans="1:14" x14ac:dyDescent="0.3">
      <c r="A20" t="s">
        <v>288</v>
      </c>
      <c r="B20" t="s">
        <v>289</v>
      </c>
      <c r="C20" t="s">
        <v>984</v>
      </c>
      <c r="D20" t="s">
        <v>977</v>
      </c>
      <c r="E20" t="s">
        <v>978</v>
      </c>
      <c r="H20" t="s">
        <v>316</v>
      </c>
      <c r="J20" t="s">
        <v>316</v>
      </c>
      <c r="K20" t="b">
        <f t="shared" si="0"/>
        <v>1</v>
      </c>
      <c r="N20" t="s">
        <v>316</v>
      </c>
    </row>
    <row r="21" spans="1:14" x14ac:dyDescent="0.3">
      <c r="A21" t="s">
        <v>812</v>
      </c>
      <c r="B21" t="s">
        <v>813</v>
      </c>
      <c r="C21" t="s">
        <v>984</v>
      </c>
      <c r="D21" t="s">
        <v>980</v>
      </c>
      <c r="E21" t="s">
        <v>983</v>
      </c>
      <c r="H21" t="s">
        <v>323</v>
      </c>
      <c r="J21" t="s">
        <v>323</v>
      </c>
      <c r="K21" t="b">
        <f t="shared" si="0"/>
        <v>1</v>
      </c>
      <c r="N21" t="s">
        <v>342</v>
      </c>
    </row>
    <row r="22" spans="1:14" x14ac:dyDescent="0.3">
      <c r="A22" t="s">
        <v>304</v>
      </c>
      <c r="B22" t="s">
        <v>305</v>
      </c>
      <c r="C22" t="s">
        <v>984</v>
      </c>
      <c r="E22" t="s">
        <v>978</v>
      </c>
      <c r="H22" t="s">
        <v>342</v>
      </c>
      <c r="J22" t="s">
        <v>342</v>
      </c>
      <c r="K22" t="b">
        <f t="shared" si="0"/>
        <v>1</v>
      </c>
      <c r="N22" t="s">
        <v>385</v>
      </c>
    </row>
    <row r="23" spans="1:14" x14ac:dyDescent="0.3">
      <c r="A23" t="s">
        <v>315</v>
      </c>
      <c r="B23" t="s">
        <v>316</v>
      </c>
      <c r="C23" t="s">
        <v>985</v>
      </c>
      <c r="D23" t="s">
        <v>982</v>
      </c>
      <c r="E23" t="s">
        <v>983</v>
      </c>
      <c r="H23" t="s">
        <v>355</v>
      </c>
      <c r="J23" t="s">
        <v>355</v>
      </c>
      <c r="K23" t="b">
        <f t="shared" si="0"/>
        <v>1</v>
      </c>
      <c r="N23" t="s">
        <v>355</v>
      </c>
    </row>
    <row r="24" spans="1:14" x14ac:dyDescent="0.3">
      <c r="A24" t="s">
        <v>987</v>
      </c>
      <c r="B24" t="s">
        <v>362</v>
      </c>
      <c r="C24" t="s">
        <v>984</v>
      </c>
      <c r="D24" t="s">
        <v>977</v>
      </c>
      <c r="E24" t="s">
        <v>978</v>
      </c>
      <c r="H24" t="s">
        <v>362</v>
      </c>
      <c r="J24" t="s">
        <v>362</v>
      </c>
      <c r="K24" t="b">
        <f t="shared" si="0"/>
        <v>1</v>
      </c>
      <c r="N24" t="s">
        <v>366</v>
      </c>
    </row>
    <row r="25" spans="1:14" x14ac:dyDescent="0.3">
      <c r="A25" t="s">
        <v>341</v>
      </c>
      <c r="B25" t="s">
        <v>342</v>
      </c>
      <c r="C25" t="s">
        <v>984</v>
      </c>
      <c r="D25" t="s">
        <v>980</v>
      </c>
      <c r="E25" t="s">
        <v>978</v>
      </c>
      <c r="H25" t="s">
        <v>366</v>
      </c>
      <c r="J25" t="s">
        <v>366</v>
      </c>
      <c r="K25" t="b">
        <f t="shared" si="0"/>
        <v>1</v>
      </c>
      <c r="N25" t="s">
        <v>395</v>
      </c>
    </row>
    <row r="26" spans="1:14" x14ac:dyDescent="0.3">
      <c r="A26" t="s">
        <v>384</v>
      </c>
      <c r="B26" t="s">
        <v>385</v>
      </c>
      <c r="C26" t="s">
        <v>981</v>
      </c>
      <c r="D26" t="s">
        <v>982</v>
      </c>
      <c r="E26" t="s">
        <v>983</v>
      </c>
      <c r="H26" t="s">
        <v>385</v>
      </c>
      <c r="J26" t="s">
        <v>385</v>
      </c>
      <c r="K26" t="b">
        <f t="shared" si="0"/>
        <v>1</v>
      </c>
      <c r="N26" t="s">
        <v>410</v>
      </c>
    </row>
    <row r="27" spans="1:14" x14ac:dyDescent="0.3">
      <c r="A27" t="s">
        <v>354</v>
      </c>
      <c r="B27" t="s">
        <v>355</v>
      </c>
      <c r="C27" t="s">
        <v>984</v>
      </c>
      <c r="D27" t="s">
        <v>980</v>
      </c>
      <c r="E27" t="s">
        <v>978</v>
      </c>
      <c r="H27" t="s">
        <v>395</v>
      </c>
      <c r="J27" t="s">
        <v>395</v>
      </c>
      <c r="K27" t="b">
        <f t="shared" si="0"/>
        <v>1</v>
      </c>
      <c r="N27" t="s">
        <v>402</v>
      </c>
    </row>
    <row r="28" spans="1:14" x14ac:dyDescent="0.3">
      <c r="A28" t="s">
        <v>365</v>
      </c>
      <c r="B28" t="s">
        <v>366</v>
      </c>
      <c r="C28" t="s">
        <v>984</v>
      </c>
      <c r="D28" t="s">
        <v>977</v>
      </c>
      <c r="E28" t="s">
        <v>978</v>
      </c>
      <c r="H28" t="s">
        <v>402</v>
      </c>
      <c r="J28" t="s">
        <v>402</v>
      </c>
      <c r="K28" t="b">
        <f t="shared" si="0"/>
        <v>1</v>
      </c>
      <c r="N28" t="s">
        <v>459</v>
      </c>
    </row>
    <row r="29" spans="1:14" x14ac:dyDescent="0.3">
      <c r="A29" t="s">
        <v>394</v>
      </c>
      <c r="B29" t="s">
        <v>395</v>
      </c>
      <c r="C29" t="s">
        <v>981</v>
      </c>
      <c r="D29" t="s">
        <v>988</v>
      </c>
      <c r="E29" t="s">
        <v>978</v>
      </c>
      <c r="H29" t="s">
        <v>410</v>
      </c>
      <c r="J29" t="s">
        <v>410</v>
      </c>
      <c r="K29" t="b">
        <f t="shared" si="0"/>
        <v>1</v>
      </c>
      <c r="N29" t="s">
        <v>480</v>
      </c>
    </row>
    <row r="30" spans="1:14" x14ac:dyDescent="0.3">
      <c r="A30" t="s">
        <v>409</v>
      </c>
      <c r="B30" t="s">
        <v>410</v>
      </c>
      <c r="C30" t="s">
        <v>981</v>
      </c>
      <c r="D30" t="s">
        <v>980</v>
      </c>
      <c r="E30" t="s">
        <v>978</v>
      </c>
      <c r="H30" t="s">
        <v>459</v>
      </c>
      <c r="J30" t="s">
        <v>459</v>
      </c>
      <c r="K30" t="b">
        <f t="shared" si="0"/>
        <v>1</v>
      </c>
      <c r="N30" t="s">
        <v>936</v>
      </c>
    </row>
    <row r="31" spans="1:14" x14ac:dyDescent="0.3">
      <c r="A31" t="s">
        <v>401</v>
      </c>
      <c r="B31" t="s">
        <v>402</v>
      </c>
      <c r="C31" t="s">
        <v>981</v>
      </c>
      <c r="D31" t="s">
        <v>980</v>
      </c>
      <c r="E31" t="s">
        <v>978</v>
      </c>
      <c r="H31" t="s">
        <v>470</v>
      </c>
      <c r="J31" t="s">
        <v>470</v>
      </c>
      <c r="K31" t="b">
        <f t="shared" si="0"/>
        <v>1</v>
      </c>
      <c r="N31" t="s">
        <v>470</v>
      </c>
    </row>
    <row r="32" spans="1:14" x14ac:dyDescent="0.3">
      <c r="A32" t="s">
        <v>458</v>
      </c>
      <c r="B32" t="s">
        <v>459</v>
      </c>
      <c r="C32" t="s">
        <v>984</v>
      </c>
      <c r="D32" t="s">
        <v>980</v>
      </c>
      <c r="E32" t="s">
        <v>983</v>
      </c>
      <c r="H32" t="s">
        <v>474</v>
      </c>
      <c r="J32" t="s">
        <v>474</v>
      </c>
      <c r="K32" t="b">
        <f t="shared" si="0"/>
        <v>1</v>
      </c>
      <c r="N32" t="s">
        <v>492</v>
      </c>
    </row>
    <row r="33" spans="1:14" x14ac:dyDescent="0.3">
      <c r="A33" t="s">
        <v>479</v>
      </c>
      <c r="B33" t="s">
        <v>480</v>
      </c>
      <c r="C33" t="s">
        <v>985</v>
      </c>
      <c r="D33" t="s">
        <v>980</v>
      </c>
      <c r="E33" t="s">
        <v>978</v>
      </c>
      <c r="H33" t="s">
        <v>480</v>
      </c>
      <c r="J33" t="s">
        <v>480</v>
      </c>
      <c r="K33" t="b">
        <f t="shared" si="0"/>
        <v>1</v>
      </c>
      <c r="N33" t="s">
        <v>516</v>
      </c>
    </row>
    <row r="34" spans="1:14" x14ac:dyDescent="0.3">
      <c r="A34" t="s">
        <v>935</v>
      </c>
      <c r="B34" t="s">
        <v>936</v>
      </c>
      <c r="C34" t="s">
        <v>989</v>
      </c>
      <c r="D34" t="s">
        <v>982</v>
      </c>
      <c r="E34" t="s">
        <v>978</v>
      </c>
      <c r="H34" t="s">
        <v>492</v>
      </c>
      <c r="J34" t="s">
        <v>492</v>
      </c>
      <c r="K34" t="b">
        <f t="shared" si="0"/>
        <v>1</v>
      </c>
      <c r="N34" t="s">
        <v>499</v>
      </c>
    </row>
    <row r="35" spans="1:14" x14ac:dyDescent="0.3">
      <c r="A35" t="s">
        <v>469</v>
      </c>
      <c r="B35" t="s">
        <v>470</v>
      </c>
      <c r="C35" t="s">
        <v>989</v>
      </c>
      <c r="D35" t="s">
        <v>980</v>
      </c>
      <c r="E35" t="s">
        <v>978</v>
      </c>
      <c r="H35" t="s">
        <v>499</v>
      </c>
      <c r="J35" t="s">
        <v>499</v>
      </c>
      <c r="K35" t="b">
        <f t="shared" si="0"/>
        <v>1</v>
      </c>
      <c r="N35" t="s">
        <v>553</v>
      </c>
    </row>
    <row r="36" spans="1:14" x14ac:dyDescent="0.3">
      <c r="A36" t="s">
        <v>491</v>
      </c>
      <c r="B36" t="s">
        <v>492</v>
      </c>
      <c r="C36" t="s">
        <v>985</v>
      </c>
      <c r="D36" t="s">
        <v>980</v>
      </c>
      <c r="E36" t="s">
        <v>978</v>
      </c>
      <c r="H36" t="s">
        <v>508</v>
      </c>
      <c r="J36" t="s">
        <v>508</v>
      </c>
      <c r="K36" t="b">
        <f t="shared" si="0"/>
        <v>1</v>
      </c>
      <c r="N36" t="s">
        <v>618</v>
      </c>
    </row>
    <row r="37" spans="1:14" x14ac:dyDescent="0.3">
      <c r="A37" t="s">
        <v>515</v>
      </c>
      <c r="B37" t="s">
        <v>516</v>
      </c>
      <c r="C37" t="s">
        <v>984</v>
      </c>
      <c r="D37" t="s">
        <v>980</v>
      </c>
      <c r="E37" t="s">
        <v>978</v>
      </c>
      <c r="H37" t="s">
        <v>514</v>
      </c>
      <c r="J37" t="s">
        <v>514</v>
      </c>
      <c r="K37" t="b">
        <f t="shared" si="0"/>
        <v>1</v>
      </c>
      <c r="N37" t="s">
        <v>557</v>
      </c>
    </row>
    <row r="38" spans="1:14" x14ac:dyDescent="0.3">
      <c r="A38" t="s">
        <v>498</v>
      </c>
      <c r="B38" t="s">
        <v>499</v>
      </c>
      <c r="C38" t="s">
        <v>984</v>
      </c>
      <c r="D38" t="s">
        <v>977</v>
      </c>
      <c r="E38" t="s">
        <v>978</v>
      </c>
      <c r="H38" t="s">
        <v>516</v>
      </c>
      <c r="J38" t="s">
        <v>516</v>
      </c>
      <c r="K38" t="b">
        <f t="shared" si="0"/>
        <v>1</v>
      </c>
      <c r="N38" t="s">
        <v>574</v>
      </c>
    </row>
    <row r="39" spans="1:14" x14ac:dyDescent="0.3">
      <c r="A39" t="s">
        <v>552</v>
      </c>
      <c r="B39" t="s">
        <v>553</v>
      </c>
      <c r="C39" t="s">
        <v>984</v>
      </c>
      <c r="D39" t="s">
        <v>977</v>
      </c>
      <c r="E39" t="s">
        <v>978</v>
      </c>
      <c r="H39" t="s">
        <v>553</v>
      </c>
      <c r="J39" t="s">
        <v>553</v>
      </c>
      <c r="K39" t="b">
        <f t="shared" si="0"/>
        <v>1</v>
      </c>
      <c r="N39" t="s">
        <v>568</v>
      </c>
    </row>
    <row r="40" spans="1:14" x14ac:dyDescent="0.3">
      <c r="A40" t="s">
        <v>617</v>
      </c>
      <c r="B40" t="s">
        <v>618</v>
      </c>
      <c r="C40" t="s">
        <v>984</v>
      </c>
      <c r="D40" t="s">
        <v>977</v>
      </c>
      <c r="E40" t="s">
        <v>978</v>
      </c>
      <c r="H40" t="s">
        <v>557</v>
      </c>
      <c r="J40" t="s">
        <v>557</v>
      </c>
      <c r="K40" t="b">
        <f t="shared" si="0"/>
        <v>1</v>
      </c>
      <c r="N40" t="s">
        <v>606</v>
      </c>
    </row>
    <row r="41" spans="1:14" x14ac:dyDescent="0.3">
      <c r="A41" t="s">
        <v>556</v>
      </c>
      <c r="B41" t="s">
        <v>557</v>
      </c>
      <c r="C41" t="s">
        <v>979</v>
      </c>
      <c r="D41" t="s">
        <v>982</v>
      </c>
      <c r="E41" t="s">
        <v>978</v>
      </c>
      <c r="H41" t="s">
        <v>568</v>
      </c>
      <c r="J41" t="s">
        <v>568</v>
      </c>
      <c r="K41" t="b">
        <f t="shared" si="0"/>
        <v>1</v>
      </c>
      <c r="N41" t="s">
        <v>323</v>
      </c>
    </row>
    <row r="42" spans="1:14" x14ac:dyDescent="0.3">
      <c r="A42" t="s">
        <v>573</v>
      </c>
      <c r="B42" t="s">
        <v>574</v>
      </c>
      <c r="C42" t="s">
        <v>984</v>
      </c>
      <c r="D42" t="s">
        <v>977</v>
      </c>
      <c r="E42" t="s">
        <v>978</v>
      </c>
      <c r="H42" t="s">
        <v>574</v>
      </c>
      <c r="J42" t="s">
        <v>574</v>
      </c>
      <c r="K42" t="b">
        <f t="shared" si="0"/>
        <v>1</v>
      </c>
      <c r="N42" t="s">
        <v>601</v>
      </c>
    </row>
    <row r="43" spans="1:14" x14ac:dyDescent="0.3">
      <c r="A43" t="s">
        <v>567</v>
      </c>
      <c r="B43" t="s">
        <v>568</v>
      </c>
      <c r="C43" t="s">
        <v>985</v>
      </c>
      <c r="D43" t="s">
        <v>982</v>
      </c>
      <c r="E43" t="s">
        <v>978</v>
      </c>
      <c r="H43" t="s">
        <v>584</v>
      </c>
      <c r="J43" t="s">
        <v>584</v>
      </c>
      <c r="K43" t="b">
        <f t="shared" si="0"/>
        <v>1</v>
      </c>
      <c r="N43" t="s">
        <v>584</v>
      </c>
    </row>
    <row r="44" spans="1:14" x14ac:dyDescent="0.3">
      <c r="A44" t="s">
        <v>605</v>
      </c>
      <c r="B44" t="s">
        <v>606</v>
      </c>
      <c r="C44" t="s">
        <v>984</v>
      </c>
      <c r="D44" t="s">
        <v>980</v>
      </c>
      <c r="E44" t="s">
        <v>978</v>
      </c>
      <c r="H44" t="s">
        <v>601</v>
      </c>
      <c r="J44" t="s">
        <v>601</v>
      </c>
      <c r="K44" t="b">
        <f t="shared" si="0"/>
        <v>1</v>
      </c>
      <c r="N44" t="s">
        <v>662</v>
      </c>
    </row>
    <row r="45" spans="1:14" x14ac:dyDescent="0.3">
      <c r="A45" t="s">
        <v>990</v>
      </c>
      <c r="B45" t="s">
        <v>323</v>
      </c>
      <c r="C45" t="s">
        <v>985</v>
      </c>
      <c r="D45" t="s">
        <v>980</v>
      </c>
      <c r="E45" t="s">
        <v>978</v>
      </c>
      <c r="H45" t="s">
        <v>606</v>
      </c>
      <c r="J45" t="s">
        <v>606</v>
      </c>
      <c r="K45" t="b">
        <f t="shared" si="0"/>
        <v>1</v>
      </c>
      <c r="N45" t="s">
        <v>650</v>
      </c>
    </row>
    <row r="46" spans="1:14" x14ac:dyDescent="0.3">
      <c r="A46" t="s">
        <v>600</v>
      </c>
      <c r="B46" t="s">
        <v>601</v>
      </c>
      <c r="C46" t="s">
        <v>984</v>
      </c>
      <c r="D46" t="s">
        <v>977</v>
      </c>
      <c r="E46" t="s">
        <v>978</v>
      </c>
      <c r="H46" t="s">
        <v>618</v>
      </c>
      <c r="J46" t="s">
        <v>618</v>
      </c>
      <c r="K46" t="b">
        <f t="shared" si="0"/>
        <v>1</v>
      </c>
      <c r="N46" t="s">
        <v>635</v>
      </c>
    </row>
    <row r="47" spans="1:14" x14ac:dyDescent="0.3">
      <c r="A47" t="s">
        <v>583</v>
      </c>
      <c r="B47" t="s">
        <v>584</v>
      </c>
      <c r="C47" t="s">
        <v>985</v>
      </c>
      <c r="D47" t="s">
        <v>980</v>
      </c>
      <c r="E47" t="s">
        <v>978</v>
      </c>
      <c r="H47" t="s">
        <v>635</v>
      </c>
      <c r="J47" t="s">
        <v>635</v>
      </c>
      <c r="K47" t="b">
        <f t="shared" si="0"/>
        <v>1</v>
      </c>
      <c r="N47" t="s">
        <v>642</v>
      </c>
    </row>
    <row r="48" spans="1:14" x14ac:dyDescent="0.3">
      <c r="A48" t="s">
        <v>661</v>
      </c>
      <c r="B48" t="s">
        <v>662</v>
      </c>
      <c r="C48" t="s">
        <v>979</v>
      </c>
      <c r="D48" t="s">
        <v>980</v>
      </c>
      <c r="E48" t="s">
        <v>978</v>
      </c>
      <c r="H48" t="s">
        <v>642</v>
      </c>
      <c r="J48" t="s">
        <v>642</v>
      </c>
      <c r="K48" t="b">
        <f t="shared" si="0"/>
        <v>1</v>
      </c>
      <c r="N48" t="s">
        <v>676</v>
      </c>
    </row>
    <row r="49" spans="1:14" x14ac:dyDescent="0.3">
      <c r="A49" t="s">
        <v>991</v>
      </c>
      <c r="B49" t="s">
        <v>650</v>
      </c>
      <c r="C49" t="s">
        <v>981</v>
      </c>
      <c r="D49" t="s">
        <v>980</v>
      </c>
      <c r="E49" t="s">
        <v>978</v>
      </c>
      <c r="H49" t="s">
        <v>650</v>
      </c>
      <c r="J49" t="s">
        <v>650</v>
      </c>
      <c r="K49" t="b">
        <f t="shared" si="0"/>
        <v>1</v>
      </c>
      <c r="N49" t="s">
        <v>694</v>
      </c>
    </row>
    <row r="50" spans="1:14" x14ac:dyDescent="0.3">
      <c r="A50" t="s">
        <v>634</v>
      </c>
      <c r="B50" t="s">
        <v>635</v>
      </c>
      <c r="C50" t="s">
        <v>984</v>
      </c>
      <c r="D50" t="s">
        <v>977</v>
      </c>
      <c r="E50" t="s">
        <v>978</v>
      </c>
      <c r="H50" t="s">
        <v>662</v>
      </c>
      <c r="J50" t="s">
        <v>662</v>
      </c>
      <c r="K50" t="b">
        <f t="shared" si="0"/>
        <v>1</v>
      </c>
      <c r="N50" t="s">
        <v>743</v>
      </c>
    </row>
    <row r="51" spans="1:14" x14ac:dyDescent="0.3">
      <c r="A51" t="s">
        <v>641</v>
      </c>
      <c r="B51" t="s">
        <v>642</v>
      </c>
      <c r="C51" t="s">
        <v>984</v>
      </c>
      <c r="D51" t="s">
        <v>980</v>
      </c>
      <c r="E51" t="s">
        <v>983</v>
      </c>
      <c r="H51" t="s">
        <v>676</v>
      </c>
      <c r="J51" t="s">
        <v>676</v>
      </c>
      <c r="K51" t="b">
        <f t="shared" si="0"/>
        <v>1</v>
      </c>
      <c r="N51" t="s">
        <v>931</v>
      </c>
    </row>
    <row r="52" spans="1:14" x14ac:dyDescent="0.3">
      <c r="A52" t="s">
        <v>675</v>
      </c>
      <c r="B52" t="s">
        <v>676</v>
      </c>
      <c r="C52" t="s">
        <v>976</v>
      </c>
      <c r="D52" t="s">
        <v>980</v>
      </c>
      <c r="E52" t="s">
        <v>983</v>
      </c>
      <c r="H52" t="s">
        <v>694</v>
      </c>
      <c r="J52" t="s">
        <v>694</v>
      </c>
      <c r="K52" t="b">
        <f t="shared" si="0"/>
        <v>1</v>
      </c>
      <c r="N52" t="s">
        <v>797</v>
      </c>
    </row>
    <row r="53" spans="1:14" x14ac:dyDescent="0.3">
      <c r="A53" t="s">
        <v>693</v>
      </c>
      <c r="B53" t="s">
        <v>694</v>
      </c>
      <c r="C53" t="s">
        <v>985</v>
      </c>
      <c r="D53" t="s">
        <v>980</v>
      </c>
      <c r="E53" t="s">
        <v>983</v>
      </c>
      <c r="H53" t="s">
        <v>743</v>
      </c>
      <c r="J53" t="s">
        <v>743</v>
      </c>
      <c r="K53" t="b">
        <f t="shared" si="0"/>
        <v>1</v>
      </c>
      <c r="N53" t="s">
        <v>757</v>
      </c>
    </row>
    <row r="54" spans="1:14" x14ac:dyDescent="0.3">
      <c r="A54" t="s">
        <v>742</v>
      </c>
      <c r="B54" t="s">
        <v>743</v>
      </c>
      <c r="C54" t="s">
        <v>984</v>
      </c>
      <c r="D54" t="s">
        <v>977</v>
      </c>
      <c r="E54" t="s">
        <v>978</v>
      </c>
      <c r="J54" t="s">
        <v>755</v>
      </c>
      <c r="K54" t="b">
        <f t="shared" si="0"/>
        <v>0</v>
      </c>
      <c r="N54" t="s">
        <v>773</v>
      </c>
    </row>
    <row r="55" spans="1:14" x14ac:dyDescent="0.3">
      <c r="A55" t="s">
        <v>930</v>
      </c>
      <c r="B55" t="s">
        <v>931</v>
      </c>
      <c r="C55" t="s">
        <v>985</v>
      </c>
      <c r="D55" t="s">
        <v>982</v>
      </c>
      <c r="E55" t="s">
        <v>978</v>
      </c>
      <c r="H55" t="s">
        <v>757</v>
      </c>
      <c r="J55" t="s">
        <v>757</v>
      </c>
      <c r="K55" t="b">
        <f t="shared" si="0"/>
        <v>1</v>
      </c>
      <c r="N55" t="s">
        <v>765</v>
      </c>
    </row>
    <row r="56" spans="1:14" x14ac:dyDescent="0.3">
      <c r="A56" t="s">
        <v>992</v>
      </c>
      <c r="B56" t="s">
        <v>797</v>
      </c>
      <c r="C56" t="s">
        <v>984</v>
      </c>
      <c r="D56" t="s">
        <v>980</v>
      </c>
      <c r="E56" t="s">
        <v>978</v>
      </c>
      <c r="H56" t="s">
        <v>765</v>
      </c>
      <c r="J56" t="s">
        <v>765</v>
      </c>
      <c r="K56" t="b">
        <f t="shared" si="0"/>
        <v>1</v>
      </c>
      <c r="N56" t="s">
        <v>784</v>
      </c>
    </row>
    <row r="57" spans="1:14" x14ac:dyDescent="0.3">
      <c r="A57" t="s">
        <v>756</v>
      </c>
      <c r="B57" t="s">
        <v>757</v>
      </c>
      <c r="C57" t="s">
        <v>984</v>
      </c>
      <c r="D57" t="s">
        <v>980</v>
      </c>
      <c r="E57" t="s">
        <v>978</v>
      </c>
      <c r="H57" t="s">
        <v>773</v>
      </c>
      <c r="J57" t="s">
        <v>773</v>
      </c>
      <c r="K57" t="b">
        <f t="shared" si="0"/>
        <v>1</v>
      </c>
      <c r="N57" t="s">
        <v>793</v>
      </c>
    </row>
    <row r="58" spans="1:14" x14ac:dyDescent="0.3">
      <c r="A58" t="s">
        <v>772</v>
      </c>
      <c r="B58" t="s">
        <v>773</v>
      </c>
      <c r="C58" t="s">
        <v>984</v>
      </c>
      <c r="D58" t="s">
        <v>977</v>
      </c>
      <c r="E58" t="s">
        <v>978</v>
      </c>
      <c r="H58" t="s">
        <v>784</v>
      </c>
      <c r="J58" t="s">
        <v>784</v>
      </c>
      <c r="K58" t="b">
        <f t="shared" si="0"/>
        <v>1</v>
      </c>
      <c r="N58" t="s">
        <v>514</v>
      </c>
    </row>
    <row r="59" spans="1:14" x14ac:dyDescent="0.3">
      <c r="A59" t="s">
        <v>764</v>
      </c>
      <c r="B59" t="s">
        <v>765</v>
      </c>
      <c r="C59" t="s">
        <v>985</v>
      </c>
      <c r="D59" t="s">
        <v>980</v>
      </c>
      <c r="E59" t="s">
        <v>978</v>
      </c>
      <c r="H59" t="s">
        <v>793</v>
      </c>
      <c r="J59" t="s">
        <v>793</v>
      </c>
      <c r="K59" t="b">
        <f t="shared" si="0"/>
        <v>1</v>
      </c>
      <c r="N59" t="s">
        <v>508</v>
      </c>
    </row>
    <row r="60" spans="1:14" x14ac:dyDescent="0.3">
      <c r="A60" t="s">
        <v>783</v>
      </c>
      <c r="B60" t="s">
        <v>784</v>
      </c>
      <c r="C60" t="s">
        <v>984</v>
      </c>
      <c r="D60" t="s">
        <v>977</v>
      </c>
      <c r="E60" t="s">
        <v>978</v>
      </c>
      <c r="H60" t="s">
        <v>797</v>
      </c>
      <c r="J60" t="s">
        <v>797</v>
      </c>
      <c r="K60" t="b">
        <f t="shared" si="0"/>
        <v>1</v>
      </c>
      <c r="N60" t="s">
        <v>908</v>
      </c>
    </row>
    <row r="61" spans="1:14" x14ac:dyDescent="0.3">
      <c r="A61" t="s">
        <v>993</v>
      </c>
      <c r="B61" t="s">
        <v>793</v>
      </c>
      <c r="C61" t="s">
        <v>984</v>
      </c>
      <c r="D61" t="s">
        <v>977</v>
      </c>
      <c r="E61" t="s">
        <v>978</v>
      </c>
      <c r="H61" t="s">
        <v>802</v>
      </c>
      <c r="J61" t="s">
        <v>802</v>
      </c>
      <c r="K61" t="b">
        <f t="shared" si="0"/>
        <v>1</v>
      </c>
      <c r="N61" t="s">
        <v>802</v>
      </c>
    </row>
    <row r="62" spans="1:14" x14ac:dyDescent="0.3">
      <c r="A62" t="s">
        <v>513</v>
      </c>
      <c r="B62" t="s">
        <v>514</v>
      </c>
      <c r="C62" t="s">
        <v>979</v>
      </c>
      <c r="D62" t="s">
        <v>980</v>
      </c>
      <c r="E62" t="s">
        <v>978</v>
      </c>
      <c r="H62" t="s">
        <v>813</v>
      </c>
      <c r="J62" t="s">
        <v>813</v>
      </c>
      <c r="K62" t="b">
        <f t="shared" si="0"/>
        <v>1</v>
      </c>
      <c r="N62" t="s">
        <v>824</v>
      </c>
    </row>
    <row r="63" spans="1:14" x14ac:dyDescent="0.3">
      <c r="A63" t="s">
        <v>507</v>
      </c>
      <c r="B63" t="s">
        <v>508</v>
      </c>
      <c r="C63" t="s">
        <v>981</v>
      </c>
      <c r="D63" t="s">
        <v>982</v>
      </c>
      <c r="E63" t="s">
        <v>983</v>
      </c>
      <c r="H63" t="s">
        <v>824</v>
      </c>
      <c r="J63" t="s">
        <v>824</v>
      </c>
      <c r="K63" t="b">
        <f t="shared" si="0"/>
        <v>1</v>
      </c>
      <c r="N63" t="s">
        <v>842</v>
      </c>
    </row>
    <row r="64" spans="1:14" x14ac:dyDescent="0.3">
      <c r="A64" t="s">
        <v>907</v>
      </c>
      <c r="B64" t="s">
        <v>908</v>
      </c>
      <c r="C64" t="s">
        <v>981</v>
      </c>
      <c r="D64" t="s">
        <v>982</v>
      </c>
      <c r="E64" t="s">
        <v>983</v>
      </c>
      <c r="H64" t="s">
        <v>828</v>
      </c>
      <c r="J64" t="s">
        <v>828</v>
      </c>
      <c r="K64" t="b">
        <f t="shared" si="0"/>
        <v>1</v>
      </c>
      <c r="N64" t="s">
        <v>881</v>
      </c>
    </row>
    <row r="65" spans="1:14" x14ac:dyDescent="0.3">
      <c r="A65" t="s">
        <v>754</v>
      </c>
      <c r="B65" t="s">
        <v>755</v>
      </c>
      <c r="C65" t="s">
        <v>984</v>
      </c>
      <c r="D65" t="s">
        <v>977</v>
      </c>
      <c r="E65" t="s">
        <v>978</v>
      </c>
      <c r="H65" t="s">
        <v>831</v>
      </c>
      <c r="J65" t="s">
        <v>831</v>
      </c>
      <c r="K65" t="b">
        <f t="shared" si="0"/>
        <v>1</v>
      </c>
      <c r="N65" t="s">
        <v>362</v>
      </c>
    </row>
    <row r="66" spans="1:14" x14ac:dyDescent="0.3">
      <c r="A66" t="s">
        <v>801</v>
      </c>
      <c r="B66" t="s">
        <v>802</v>
      </c>
      <c r="C66" t="s">
        <v>981</v>
      </c>
      <c r="D66" t="s">
        <v>982</v>
      </c>
      <c r="E66" t="s">
        <v>983</v>
      </c>
      <c r="H66" t="s">
        <v>842</v>
      </c>
      <c r="J66" t="s">
        <v>842</v>
      </c>
      <c r="K66" t="b">
        <f t="shared" si="0"/>
        <v>1</v>
      </c>
      <c r="N66" t="s">
        <v>854</v>
      </c>
    </row>
    <row r="67" spans="1:14" x14ac:dyDescent="0.3">
      <c r="A67" t="s">
        <v>823</v>
      </c>
      <c r="B67" t="s">
        <v>824</v>
      </c>
      <c r="C67" t="s">
        <v>976</v>
      </c>
      <c r="D67" t="s">
        <v>977</v>
      </c>
      <c r="E67" t="s">
        <v>978</v>
      </c>
      <c r="H67" t="s">
        <v>854</v>
      </c>
      <c r="J67" t="s">
        <v>854</v>
      </c>
      <c r="K67" t="b">
        <f t="shared" ref="K67:K79" si="1">J67=H67</f>
        <v>1</v>
      </c>
      <c r="N67" t="s">
        <v>831</v>
      </c>
    </row>
    <row r="68" spans="1:14" x14ac:dyDescent="0.3">
      <c r="A68" t="s">
        <v>841</v>
      </c>
      <c r="B68" t="s">
        <v>842</v>
      </c>
      <c r="C68" t="s">
        <v>989</v>
      </c>
      <c r="D68" t="s">
        <v>980</v>
      </c>
      <c r="E68" t="s">
        <v>978</v>
      </c>
      <c r="H68" t="s">
        <v>860</v>
      </c>
      <c r="J68" t="s">
        <v>860</v>
      </c>
      <c r="K68" t="b">
        <f t="shared" si="1"/>
        <v>1</v>
      </c>
      <c r="N68" t="s">
        <v>860</v>
      </c>
    </row>
    <row r="69" spans="1:14" x14ac:dyDescent="0.3">
      <c r="A69" t="s">
        <v>880</v>
      </c>
      <c r="B69" t="s">
        <v>881</v>
      </c>
      <c r="C69" t="s">
        <v>984</v>
      </c>
      <c r="D69" t="s">
        <v>980</v>
      </c>
      <c r="E69" t="s">
        <v>978</v>
      </c>
      <c r="H69" t="s">
        <v>875</v>
      </c>
      <c r="J69" t="s">
        <v>875</v>
      </c>
      <c r="K69" t="b">
        <f t="shared" si="1"/>
        <v>1</v>
      </c>
      <c r="N69" t="s">
        <v>875</v>
      </c>
    </row>
    <row r="70" spans="1:14" x14ac:dyDescent="0.3">
      <c r="A70" t="s">
        <v>853</v>
      </c>
      <c r="B70" t="s">
        <v>854</v>
      </c>
      <c r="C70" t="s">
        <v>985</v>
      </c>
      <c r="D70" t="s">
        <v>980</v>
      </c>
      <c r="E70" t="s">
        <v>983</v>
      </c>
      <c r="H70" t="s">
        <v>881</v>
      </c>
      <c r="J70" t="s">
        <v>881</v>
      </c>
      <c r="K70" t="b">
        <f t="shared" si="1"/>
        <v>1</v>
      </c>
      <c r="N70" t="s">
        <v>886</v>
      </c>
    </row>
    <row r="71" spans="1:14" x14ac:dyDescent="0.3">
      <c r="A71" t="s">
        <v>830</v>
      </c>
      <c r="B71" t="s">
        <v>831</v>
      </c>
      <c r="C71" t="s">
        <v>984</v>
      </c>
      <c r="D71" t="s">
        <v>977</v>
      </c>
      <c r="E71" t="s">
        <v>978</v>
      </c>
      <c r="H71" t="s">
        <v>886</v>
      </c>
      <c r="J71" t="s">
        <v>886</v>
      </c>
      <c r="K71" t="b">
        <f t="shared" si="1"/>
        <v>1</v>
      </c>
      <c r="N71" t="s">
        <v>903</v>
      </c>
    </row>
    <row r="72" spans="1:14" x14ac:dyDescent="0.3">
      <c r="A72" t="s">
        <v>859</v>
      </c>
      <c r="B72" t="s">
        <v>860</v>
      </c>
      <c r="C72" t="s">
        <v>985</v>
      </c>
      <c r="D72" t="s">
        <v>982</v>
      </c>
      <c r="E72" t="s">
        <v>978</v>
      </c>
      <c r="H72" t="s">
        <v>903</v>
      </c>
      <c r="J72" t="s">
        <v>903</v>
      </c>
      <c r="K72" t="b">
        <f t="shared" si="1"/>
        <v>1</v>
      </c>
      <c r="N72" t="s">
        <v>922</v>
      </c>
    </row>
    <row r="73" spans="1:14" x14ac:dyDescent="0.3">
      <c r="A73" t="s">
        <v>874</v>
      </c>
      <c r="B73" t="s">
        <v>875</v>
      </c>
      <c r="C73" t="s">
        <v>985</v>
      </c>
      <c r="D73" t="s">
        <v>982</v>
      </c>
      <c r="E73" t="s">
        <v>978</v>
      </c>
      <c r="H73" t="s">
        <v>908</v>
      </c>
      <c r="J73" t="s">
        <v>908</v>
      </c>
      <c r="K73" t="b">
        <f t="shared" si="1"/>
        <v>1</v>
      </c>
      <c r="N73" t="s">
        <v>941</v>
      </c>
    </row>
    <row r="74" spans="1:14" x14ac:dyDescent="0.3">
      <c r="A74" t="s">
        <v>885</v>
      </c>
      <c r="B74" t="s">
        <v>886</v>
      </c>
      <c r="C74" t="s">
        <v>984</v>
      </c>
      <c r="D74" t="s">
        <v>977</v>
      </c>
      <c r="E74" t="s">
        <v>978</v>
      </c>
      <c r="H74" t="s">
        <v>922</v>
      </c>
      <c r="J74" t="s">
        <v>922</v>
      </c>
      <c r="K74" t="b">
        <f t="shared" si="1"/>
        <v>1</v>
      </c>
      <c r="N74" t="s">
        <v>949</v>
      </c>
    </row>
    <row r="75" spans="1:14" x14ac:dyDescent="0.3">
      <c r="A75" t="s">
        <v>902</v>
      </c>
      <c r="B75" t="s">
        <v>903</v>
      </c>
      <c r="C75" t="s">
        <v>989</v>
      </c>
      <c r="D75" t="s">
        <v>980</v>
      </c>
      <c r="E75" t="s">
        <v>983</v>
      </c>
      <c r="H75" t="s">
        <v>931</v>
      </c>
      <c r="J75" t="s">
        <v>931</v>
      </c>
      <c r="K75" t="b">
        <f t="shared" si="1"/>
        <v>1</v>
      </c>
      <c r="N75" t="s">
        <v>953</v>
      </c>
    </row>
    <row r="76" spans="1:14" x14ac:dyDescent="0.3">
      <c r="A76" t="s">
        <v>921</v>
      </c>
      <c r="B76" t="s">
        <v>922</v>
      </c>
      <c r="C76" t="s">
        <v>985</v>
      </c>
      <c r="D76" t="s">
        <v>980</v>
      </c>
      <c r="E76" t="s">
        <v>978</v>
      </c>
      <c r="H76" t="s">
        <v>936</v>
      </c>
      <c r="J76" t="s">
        <v>936</v>
      </c>
      <c r="K76" t="b">
        <f t="shared" si="1"/>
        <v>1</v>
      </c>
      <c r="N76" t="s">
        <v>28</v>
      </c>
    </row>
    <row r="77" spans="1:14" x14ac:dyDescent="0.3">
      <c r="A77" t="s">
        <v>994</v>
      </c>
      <c r="B77" t="s">
        <v>941</v>
      </c>
      <c r="C77" t="s">
        <v>976</v>
      </c>
      <c r="D77" t="s">
        <v>977</v>
      </c>
      <c r="E77" t="s">
        <v>978</v>
      </c>
      <c r="H77" t="s">
        <v>941</v>
      </c>
      <c r="J77" t="s">
        <v>941</v>
      </c>
      <c r="K77" t="b">
        <f t="shared" si="1"/>
        <v>1</v>
      </c>
      <c r="N77" t="s">
        <v>230</v>
      </c>
    </row>
    <row r="78" spans="1:14" x14ac:dyDescent="0.3">
      <c r="A78" t="s">
        <v>995</v>
      </c>
      <c r="B78" t="s">
        <v>949</v>
      </c>
      <c r="C78" t="s">
        <v>984</v>
      </c>
      <c r="D78" t="s">
        <v>980</v>
      </c>
      <c r="E78" t="s">
        <v>978</v>
      </c>
      <c r="H78" t="s">
        <v>949</v>
      </c>
      <c r="J78" t="s">
        <v>949</v>
      </c>
      <c r="K78" t="b">
        <f t="shared" si="1"/>
        <v>1</v>
      </c>
      <c r="N78" t="s">
        <v>289</v>
      </c>
    </row>
    <row r="79" spans="1:14" x14ac:dyDescent="0.3">
      <c r="A79" t="s">
        <v>952</v>
      </c>
      <c r="B79" t="s">
        <v>953</v>
      </c>
      <c r="C79" t="s">
        <v>984</v>
      </c>
      <c r="D79" t="s">
        <v>980</v>
      </c>
      <c r="E79" t="s">
        <v>983</v>
      </c>
      <c r="H79" t="s">
        <v>953</v>
      </c>
      <c r="J79" t="s">
        <v>953</v>
      </c>
      <c r="K79" t="b">
        <f t="shared" si="1"/>
        <v>1</v>
      </c>
      <c r="N79" t="s">
        <v>755</v>
      </c>
    </row>
  </sheetData>
  <sortState xmlns:xlrd2="http://schemas.microsoft.com/office/spreadsheetml/2017/richdata2" ref="J2:J79">
    <sortCondition ref="J2:J79"/>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743584D4C4B4E4B8570ABCD8A0262B9" ma:contentTypeVersion="12" ma:contentTypeDescription="Create a new document." ma:contentTypeScope="" ma:versionID="7478d9f084369c3c5dd325d0cdef0080">
  <xsd:schema xmlns:xsd="http://www.w3.org/2001/XMLSchema" xmlns:xs="http://www.w3.org/2001/XMLSchema" xmlns:p="http://schemas.microsoft.com/office/2006/metadata/properties" xmlns:ns2="1db81854-887f-48e2-b79b-ded79c58e7ef" xmlns:ns3="75fbb329-1ef4-48db-bb37-93f45be3f74e" targetNamespace="http://schemas.microsoft.com/office/2006/metadata/properties" ma:root="true" ma:fieldsID="f91bc5cb9d3d5414b32b8f870b4065f3" ns2:_="" ns3:_="">
    <xsd:import namespace="1db81854-887f-48e2-b79b-ded79c58e7ef"/>
    <xsd:import namespace="75fbb329-1ef4-48db-bb37-93f45be3f74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b81854-887f-48e2-b79b-ded79c58e7e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5fbb329-1ef4-48db-bb37-93f45be3f74e"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75fbb329-1ef4-48db-bb37-93f45be3f74e">
      <UserInfo>
        <DisplayName>Tawheeda Wahabzada</DisplayName>
        <AccountId>13</AccountId>
        <AccountType/>
      </UserInfo>
    </SharedWithUsers>
  </documentManagement>
</p:properties>
</file>

<file path=customXml/itemProps1.xml><?xml version="1.0" encoding="utf-8"?>
<ds:datastoreItem xmlns:ds="http://schemas.openxmlformats.org/officeDocument/2006/customXml" ds:itemID="{186EADD4-5A8A-4E20-A71A-C9A92C880E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b81854-887f-48e2-b79b-ded79c58e7ef"/>
    <ds:schemaRef ds:uri="75fbb329-1ef4-48db-bb37-93f45be3f7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F710586-EFB2-42B7-B1B8-53A47EE7B7E5}">
  <ds:schemaRefs>
    <ds:schemaRef ds:uri="http://schemas.microsoft.com/sharepoint/v3/contenttype/forms"/>
  </ds:schemaRefs>
</ds:datastoreItem>
</file>

<file path=customXml/itemProps3.xml><?xml version="1.0" encoding="utf-8"?>
<ds:datastoreItem xmlns:ds="http://schemas.openxmlformats.org/officeDocument/2006/customXml" ds:itemID="{7E946148-8779-464C-B9EE-7A75256885BF}">
  <ds:schemaRefs>
    <ds:schemaRef ds:uri="http://purl.org/dc/elements/1.1/"/>
    <ds:schemaRef ds:uri="http://purl.org/dc/terms/"/>
    <ds:schemaRef ds:uri="1db81854-887f-48e2-b79b-ded79c58e7ef"/>
    <ds:schemaRef ds:uri="http://www.w3.org/XML/1998/namespace"/>
    <ds:schemaRef ds:uri="75fbb329-1ef4-48db-bb37-93f45be3f74e"/>
    <ds:schemaRef ds:uri="http://schemas.microsoft.com/office/2006/documentManagement/types"/>
    <ds:schemaRef ds:uri="http://purl.org/dc/dcmitype/"/>
    <ds:schemaRef ds:uri="http://schemas.openxmlformats.org/package/2006/metadata/core-properties"/>
    <ds:schemaRef ds:uri="http://schemas.microsoft.com/office/infopath/2007/PartnerControl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WORKING VERSION</vt:lpstr>
      <vt:lpstr>Gender Statistics plans</vt:lpstr>
      <vt:lpstr>IDA country 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Jordan Hayes - Archive</dc:creator>
  <cp:keywords/>
  <dc:description/>
  <cp:lastModifiedBy>Lorenz Noe</cp:lastModifiedBy>
  <cp:revision/>
  <dcterms:created xsi:type="dcterms:W3CDTF">2016-10-14T12:57:25Z</dcterms:created>
  <dcterms:modified xsi:type="dcterms:W3CDTF">2026-05-21T20:59:37Z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0x0101001743584D4C4B4E4B8570ABCD8A0262B9</vt:lpwstr>
  </property>
  <property fmtid="{D5CDD505-2E9C-101B-9397-08002B2CF9AE}" pid="3" name="MediaServiceImageTags">
    <vt:lpwstr/>
  </property>
</Properties>
</file>