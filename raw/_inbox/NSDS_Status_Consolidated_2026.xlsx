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SDS Status (Consolidated)" sheetId="1" state="visible" r:id="rId3"/>
    <sheet name="Summary" sheetId="2" state="visible" r:id="rId4"/>
  </sheets>
  <definedNames>
    <definedName function="false" hidden="true" localSheetId="0" name="_xlnm._FilterDatabase" vbProcedure="false">'NSDS Status (Consolidated)'!$A$3:$K$123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<sst xmlns="http://schemas.openxmlformats.org/spreadsheetml/2006/main" count="1279" uniqueCount="369">
  <si>
    <t xml:space="preserve">NSDS Status — Consolidated &amp; Updated (base: PARIS21 NSDS Summary Table 2024)</t>
  </si>
  <si>
    <t xml:space="preserve">Sources: PARIS21 NSDS Summary Table (Jan 2026) where available; manual web checks (May 2026) for countries dropped from PARIS21's 2026 edition. '*' = non-IDA country in the original PARIS21 table.</t>
  </si>
  <si>
    <t xml:space="preserve">Region</t>
  </si>
  <si>
    <t xml:space="preserve">Country</t>
  </si>
  <si>
    <t xml:space="preserve">NSDS in 2024 table</t>
  </si>
  <si>
    <t xml:space="preserve">2024 range</t>
  </si>
  <si>
    <t xml:space="preserve">Most current NSDS</t>
  </si>
  <si>
    <t xml:space="preserve">Current range</t>
  </si>
  <si>
    <t xml:space="preserve">Current status</t>
  </si>
  <si>
    <t xml:space="preserve">Covers 2026?</t>
  </si>
  <si>
    <t xml:space="preserve">Category</t>
  </si>
  <si>
    <t xml:space="preserve">Source</t>
  </si>
  <si>
    <t xml:space="preserve">Notes</t>
  </si>
  <si>
    <t xml:space="preserve">Africa</t>
  </si>
  <si>
    <t xml:space="preserve">Algeria*</t>
  </si>
  <si>
    <t xml:space="preserve">SNDS</t>
  </si>
  <si>
    <t xml:space="preserve">—</t>
  </si>
  <si>
    <t xml:space="preserve">Completed/awaiting adoption; status unclear</t>
  </si>
  <si>
    <t xml:space="preserve">Unclear</t>
  </si>
  <si>
    <t xml:space="preserve">Other / status unclear</t>
  </si>
  <si>
    <t xml:space="preserve">PARIS21 NSDS table, Jan 2026</t>
  </si>
  <si>
    <t xml:space="preserve">No range or clear status in either table</t>
  </si>
  <si>
    <t xml:space="preserve">Angola*</t>
  </si>
  <si>
    <t xml:space="preserve">Plano Estatístico Nacional de Médio Prazo</t>
  </si>
  <si>
    <t xml:space="preserve">2015–2025</t>
  </si>
  <si>
    <t xml:space="preserve">National Strategy for the Development of Statistics</t>
  </si>
  <si>
    <t xml:space="preserve">Implementing — due for end evaluation &amp; update</t>
  </si>
  <si>
    <t xml:space="preserve">No</t>
  </si>
  <si>
    <t xml:space="preserve">Expired/expiring — no successor</t>
  </si>
  <si>
    <t xml:space="preserve">Benin</t>
  </si>
  <si>
    <t xml:space="preserve">SNDS-3</t>
  </si>
  <si>
    <t xml:space="preserve">2020–2023</t>
  </si>
  <si>
    <t xml:space="preserve">Stratégie Nationale de Développement de la Statistique</t>
  </si>
  <si>
    <t xml:space="preserve">2021–2025</t>
  </si>
  <si>
    <t xml:space="preserve">2026 table shows range 2021–2023/25</t>
  </si>
  <si>
    <t xml:space="preserve">Botswana*</t>
  </si>
  <si>
    <t xml:space="preserve">Transitional Statistics Botswana Strategic Plan</t>
  </si>
  <si>
    <t xml:space="preserve">2023–2024</t>
  </si>
  <si>
    <t xml:space="preserve">Botswana Strategy for the Development of Statistics (BSDS)</t>
  </si>
  <si>
    <t xml:space="preserve">2026–2030</t>
  </si>
  <si>
    <t xml:space="preserve">Finalised and implementing</t>
  </si>
  <si>
    <t xml:space="preserve">Yes</t>
  </si>
  <si>
    <t xml:space="preserve">Newer NSDS adopted</t>
  </si>
  <si>
    <t xml:space="preserve">Burkina Faso</t>
  </si>
  <si>
    <t xml:space="preserve">Schéma Directeur de la Statistique</t>
  </si>
  <si>
    <t xml:space="preserve">Schéma Directeur de la Statistique (SDS)</t>
  </si>
  <si>
    <t xml:space="preserve">Burundi</t>
  </si>
  <si>
    <t xml:space="preserve">2022–2026</t>
  </si>
  <si>
    <t xml:space="preserve">Implementing — evaluation due 2026</t>
  </si>
  <si>
    <t xml:space="preserve">Still current (covers 2026)</t>
  </si>
  <si>
    <t xml:space="preserve">Cabo Verde</t>
  </si>
  <si>
    <t xml:space="preserve">ENDE</t>
  </si>
  <si>
    <t xml:space="preserve">Cameroon</t>
  </si>
  <si>
    <t xml:space="preserve">SNDS30</t>
  </si>
  <si>
    <t xml:space="preserve">2021–2030</t>
  </si>
  <si>
    <t xml:space="preserve">Implementing — mid-term review due</t>
  </si>
  <si>
    <t xml:space="preserve">Central African Republic</t>
  </si>
  <si>
    <t xml:space="preserve">Chad</t>
  </si>
  <si>
    <t xml:space="preserve">SNDS2</t>
  </si>
  <si>
    <t xml:space="preserve">Comoros</t>
  </si>
  <si>
    <t xml:space="preserve">2015–2019</t>
  </si>
  <si>
    <t xml:space="preserve">NSDS finalised</t>
  </si>
  <si>
    <t xml:space="preserve">Congo, Rep.</t>
  </si>
  <si>
    <t xml:space="preserve">Congo, Dem. Rep.</t>
  </si>
  <si>
    <t xml:space="preserve">2012/13–2017</t>
  </si>
  <si>
    <t xml:space="preserve">Expired</t>
  </si>
  <si>
    <t xml:space="preserve">Côte d'Ivoire</t>
  </si>
  <si>
    <t xml:space="preserve">2017–2021</t>
  </si>
  <si>
    <t xml:space="preserve">Designing</t>
  </si>
  <si>
    <t xml:space="preserve">Pending</t>
  </si>
  <si>
    <t xml:space="preserve">New NSDS in design/pending</t>
  </si>
  <si>
    <t xml:space="preserve">Will cover 2026 once adopted</t>
  </si>
  <si>
    <t xml:space="preserve">Djibouti</t>
  </si>
  <si>
    <t xml:space="preserve">2018–2022</t>
  </si>
  <si>
    <t xml:space="preserve">2025–2029</t>
  </si>
  <si>
    <t xml:space="preserve">Egypt*</t>
  </si>
  <si>
    <t xml:space="preserve">National Strategy of Statistics</t>
  </si>
  <si>
    <t xml:space="preserve">2024 table noted 'being finalised'</t>
  </si>
  <si>
    <t xml:space="preserve">Equatorial Guinea*</t>
  </si>
  <si>
    <t xml:space="preserve">Eritrea</t>
  </si>
  <si>
    <t xml:space="preserve">Master plan for development economics statistics</t>
  </si>
  <si>
    <t xml:space="preserve">2010–2014</t>
  </si>
  <si>
    <t xml:space="preserve">Statistical Master Plan</t>
  </si>
  <si>
    <t xml:space="preserve">2023–2026</t>
  </si>
  <si>
    <t xml:space="preserve">Ethiopia</t>
  </si>
  <si>
    <t xml:space="preserve">Ethiopian Statistical Development Program</t>
  </si>
  <si>
    <t xml:space="preserve">2023/24–2025/26</t>
  </si>
  <si>
    <t xml:space="preserve">2021–2026</t>
  </si>
  <si>
    <t xml:space="preserve">Gabon*</t>
  </si>
  <si>
    <t xml:space="preserve">(unnamed)</t>
  </si>
  <si>
    <t xml:space="preserve">2016–2019</t>
  </si>
  <si>
    <t xml:space="preserve">2023–2025</t>
  </si>
  <si>
    <t xml:space="preserve">Newer than 2024 entry but itself now expiring</t>
  </si>
  <si>
    <t xml:space="preserve">Gambia</t>
  </si>
  <si>
    <t xml:space="preserve">NSDS III</t>
  </si>
  <si>
    <t xml:space="preserve">2024–2028</t>
  </si>
  <si>
    <t xml:space="preserve">Ghana</t>
  </si>
  <si>
    <t xml:space="preserve">Ghana Statistical Service Corporate Plan</t>
  </si>
  <si>
    <t xml:space="preserve">2020–2024</t>
  </si>
  <si>
    <t xml:space="preserve">(new NSDS being designed)</t>
  </si>
  <si>
    <t xml:space="preserve">2026 table still references a 2018–2022 NSDS</t>
  </si>
  <si>
    <t xml:space="preserve">Guinea</t>
  </si>
  <si>
    <t xml:space="preserve">Guinea-Bissau</t>
  </si>
  <si>
    <t xml:space="preserve">2021–2024</t>
  </si>
  <si>
    <t xml:space="preserve">Kenya</t>
  </si>
  <si>
    <t xml:space="preserve">2023–2027</t>
  </si>
  <si>
    <t xml:space="preserve">Kenya Strategy for Development of Statistics (KSDS)</t>
  </si>
  <si>
    <t xml:space="preserve">2023–2028</t>
  </si>
  <si>
    <t xml:space="preserve">Lesotho</t>
  </si>
  <si>
    <t xml:space="preserve">2021/22–2025/26</t>
  </si>
  <si>
    <t xml:space="preserve">2022–2027</t>
  </si>
  <si>
    <t xml:space="preserve">Liberia</t>
  </si>
  <si>
    <t xml:space="preserve">Libya*</t>
  </si>
  <si>
    <t xml:space="preserve">2018–2023</t>
  </si>
  <si>
    <t xml:space="preserve">National Statistics Development Strategy</t>
  </si>
  <si>
    <t xml:space="preserve">Madagascar</t>
  </si>
  <si>
    <t xml:space="preserve">Deuxième SNDS</t>
  </si>
  <si>
    <t xml:space="preserve">2023–2030</t>
  </si>
  <si>
    <t xml:space="preserve">Malawi</t>
  </si>
  <si>
    <t xml:space="preserve">National Statistical System Strategic Plan</t>
  </si>
  <si>
    <t xml:space="preserve">2019–2023</t>
  </si>
  <si>
    <t xml:space="preserve">Mali</t>
  </si>
  <si>
    <t xml:space="preserve">Schéma Directeur de la Statistique (NSP-3)</t>
  </si>
  <si>
    <t xml:space="preserve">Mauritania</t>
  </si>
  <si>
    <t xml:space="preserve">SNDDS + Plan d'Actions</t>
  </si>
  <si>
    <t xml:space="preserve">Stratégie Nationale Décennale pour le Développement de la Statistique (SNDDS)</t>
  </si>
  <si>
    <t xml:space="preserve">2021–2023</t>
  </si>
  <si>
    <t xml:space="preserve">Discrepancy — verify</t>
  </si>
  <si>
    <t xml:space="preserve">2024 table: decennial to 2030; 2026 table: 2021–2023 — verify</t>
  </si>
  <si>
    <t xml:space="preserve">Mauritius*</t>
  </si>
  <si>
    <t xml:space="preserve">Strategy for Official Statistics</t>
  </si>
  <si>
    <t xml:space="preserve">2020–2025</t>
  </si>
  <si>
    <t xml:space="preserve">Morocco*</t>
  </si>
  <si>
    <t xml:space="preserve">Plan d'action à long terme de la Direction de la Statistique</t>
  </si>
  <si>
    <t xml:space="preserve">Mozambique</t>
  </si>
  <si>
    <t xml:space="preserve">Strategic Plan of the National Statistical System</t>
  </si>
  <si>
    <t xml:space="preserve">Namibia*</t>
  </si>
  <si>
    <t xml:space="preserve">NSA Strategic Plan</t>
  </si>
  <si>
    <t xml:space="preserve">2022/23–2026/27</t>
  </si>
  <si>
    <t xml:space="preserve">Niger</t>
  </si>
  <si>
    <t xml:space="preserve">Nigeria</t>
  </si>
  <si>
    <t xml:space="preserve">National Strategy for Development of Statistics</t>
  </si>
  <si>
    <t xml:space="preserve">National Statistics Development Strategy (NSDS)</t>
  </si>
  <si>
    <t xml:space="preserve">Rwanda</t>
  </si>
  <si>
    <t xml:space="preserve">NSDS 3</t>
  </si>
  <si>
    <t xml:space="preserve">2019/20–2023/24</t>
  </si>
  <si>
    <t xml:space="preserve">São Tomé and Príncipe</t>
  </si>
  <si>
    <t xml:space="preserve">Estratégia Nacional para o Desenvolvimento da Estatística</t>
  </si>
  <si>
    <t xml:space="preserve">2018–2021</t>
  </si>
  <si>
    <t xml:space="preserve">Senegal</t>
  </si>
  <si>
    <t xml:space="preserve">SNDS 3</t>
  </si>
  <si>
    <t xml:space="preserve">Seychelles*</t>
  </si>
  <si>
    <t xml:space="preserve">NBS Strategic Plan</t>
  </si>
  <si>
    <t xml:space="preserve">National Strategic Plan for Statistics (NSPS)</t>
  </si>
  <si>
    <t xml:space="preserve">Was 'awaiting adoption' in 2024; now implementing</t>
  </si>
  <si>
    <t xml:space="preserve">Sierra Leone</t>
  </si>
  <si>
    <t xml:space="preserve">National Strategy for the Development of Statistics (NSDS 2)</t>
  </si>
  <si>
    <t xml:space="preserve">2016–2020</t>
  </si>
  <si>
    <t xml:space="preserve">2022–2025</t>
  </si>
  <si>
    <t xml:space="preserve">Somalia</t>
  </si>
  <si>
    <t xml:space="preserve">National Strategy for the Development of Statistics 2</t>
  </si>
  <si>
    <t xml:space="preserve">2024–2029</t>
  </si>
  <si>
    <t xml:space="preserve">South Africa*</t>
  </si>
  <si>
    <t xml:space="preserve">Statistics South Africa Strategic Plan</t>
  </si>
  <si>
    <t xml:space="preserve">2020/21–2024/25</t>
  </si>
  <si>
    <t xml:space="preserve">South Sudan</t>
  </si>
  <si>
    <t xml:space="preserve">2014–2020</t>
  </si>
  <si>
    <t xml:space="preserve">Master Plan for Statistics Development in Southern Sudan</t>
  </si>
  <si>
    <t xml:space="preserve">Sudan</t>
  </si>
  <si>
    <t xml:space="preserve">Eswatini*</t>
  </si>
  <si>
    <t xml:space="preserve">Strategic plan for central statistical office</t>
  </si>
  <si>
    <t xml:space="preserve">Tanzania</t>
  </si>
  <si>
    <t xml:space="preserve">Tanzania Statistical Master Plan Phase Two (TSMP II)</t>
  </si>
  <si>
    <t xml:space="preserve">Tanzania Statistical Master Plan</t>
  </si>
  <si>
    <t xml:space="preserve">Togo</t>
  </si>
  <si>
    <t xml:space="preserve">Tunisia*</t>
  </si>
  <si>
    <t xml:space="preserve">Le Programme National de la Statistique</t>
  </si>
  <si>
    <t xml:space="preserve">Uganda</t>
  </si>
  <si>
    <t xml:space="preserve">Third Plan for National Statistical Development (PNSD III)</t>
  </si>
  <si>
    <t xml:space="preserve">Plan for National Statistical Development (PNSD)</t>
  </si>
  <si>
    <t xml:space="preserve">Zambia</t>
  </si>
  <si>
    <t xml:space="preserve">National Strategy for the Development of Statistics (NSDS2)</t>
  </si>
  <si>
    <t xml:space="preserve">Zimbabwe</t>
  </si>
  <si>
    <t xml:space="preserve">National Strategy for the Development of Statistics II</t>
  </si>
  <si>
    <t xml:space="preserve">Implementing</t>
  </si>
  <si>
    <t xml:space="preserve">Asia-Pacific</t>
  </si>
  <si>
    <t xml:space="preserve">Afghanistan</t>
  </si>
  <si>
    <t xml:space="preserve">Afghanistan National Strategy for Statistics</t>
  </si>
  <si>
    <t xml:space="preserve">Bangladesh</t>
  </si>
  <si>
    <t xml:space="preserve">2013–2023</t>
  </si>
  <si>
    <t xml:space="preserve">National Strategy for the Development of Statistics (NSDS)</t>
  </si>
  <si>
    <t xml:space="preserve">Finalised, awaiting endorsement</t>
  </si>
  <si>
    <t xml:space="preserve">Bhutan</t>
  </si>
  <si>
    <t xml:space="preserve">Ongoing</t>
  </si>
  <si>
    <t xml:space="preserve">Cambodia*</t>
  </si>
  <si>
    <t xml:space="preserve">Cook Islands*</t>
  </si>
  <si>
    <t xml:space="preserve">Strategy for Development of Statistics</t>
  </si>
  <si>
    <t xml:space="preserve">Cook Islands Strategy for the Development of Statistics (CSDS)</t>
  </si>
  <si>
    <t xml:space="preserve">Ongoing — evaluation due 2025</t>
  </si>
  <si>
    <t xml:space="preserve">Fiji</t>
  </si>
  <si>
    <t xml:space="preserve">No strategy</t>
  </si>
  <si>
    <t xml:space="preserve">No strategy / being designed</t>
  </si>
  <si>
    <t xml:space="preserve">India*</t>
  </si>
  <si>
    <t xml:space="preserve">Strategic Plan</t>
  </si>
  <si>
    <t xml:space="preserve">2011–2016</t>
  </si>
  <si>
    <t xml:space="preserve">No current dated NSDS identified</t>
  </si>
  <si>
    <t xml:space="preserve">Manual web check, May 2026</t>
  </si>
  <si>
    <t xml:space="preserve">Dropped from PARIS21 2026 table; no successor located</t>
  </si>
  <si>
    <t xml:space="preserve">Indonesia*</t>
  </si>
  <si>
    <t xml:space="preserve">National Statistical Plan</t>
  </si>
  <si>
    <t xml:space="preserve">No successor NSDS identified</t>
  </si>
  <si>
    <t xml:space="preserve">Dropped from PARIS21 2026 table</t>
  </si>
  <si>
    <t xml:space="preserve">Iraq*</t>
  </si>
  <si>
    <t xml:space="preserve">No NSDS identified</t>
  </si>
  <si>
    <t xml:space="preserve">First census in ~30 years held 2024; no NSDS located</t>
  </si>
  <si>
    <t xml:space="preserve">Jordan*</t>
  </si>
  <si>
    <t xml:space="preserve">Kiribati</t>
  </si>
  <si>
    <t xml:space="preserve">Korea, Dem. People's Rep.*</t>
  </si>
  <si>
    <t xml:space="preserve">No public information available</t>
  </si>
  <si>
    <t xml:space="preserve">Kyrgyzstan</t>
  </si>
  <si>
    <t xml:space="preserve">Medium-term Program for development of official statistics</t>
  </si>
  <si>
    <t xml:space="preserve">Ongoing — evaluation due 2026</t>
  </si>
  <si>
    <t xml:space="preserve">Lao PDR</t>
  </si>
  <si>
    <t xml:space="preserve">Strategy for the Sustainable Development of the NSS</t>
  </si>
  <si>
    <t xml:space="preserve">2016–2025</t>
  </si>
  <si>
    <t xml:space="preserve">Strategy for the Development of the National Statistical System (SD NSS)</t>
  </si>
  <si>
    <t xml:space="preserve">Maldives</t>
  </si>
  <si>
    <t xml:space="preserve">Ongoing — mid-term evaluation due 2025</t>
  </si>
  <si>
    <t xml:space="preserve">Marshall Islands</t>
  </si>
  <si>
    <t xml:space="preserve">Micronesia, Fed. Sts.</t>
  </si>
  <si>
    <t xml:space="preserve">Mongolia</t>
  </si>
  <si>
    <t xml:space="preserve">Strategic Plan for Development of Statistics</t>
  </si>
  <si>
    <t xml:space="preserve">Expiring — no successor identified</t>
  </si>
  <si>
    <t xml:space="preserve">Myanmar</t>
  </si>
  <si>
    <t xml:space="preserve">National Strategy for the Development of Statistics (Core Strategies)</t>
  </si>
  <si>
    <t xml:space="preserve">2018/19–2022/23</t>
  </si>
  <si>
    <t xml:space="preserve">Nauru*</t>
  </si>
  <si>
    <t xml:space="preserve">No strategy (being designed)</t>
  </si>
  <si>
    <t xml:space="preserve">NSDS not yet completed</t>
  </si>
  <si>
    <t xml:space="preserve">Manual web check (SPC), May 2026</t>
  </si>
  <si>
    <t xml:space="preserve">Listed by SPC among countries without a completed NSDS</t>
  </si>
  <si>
    <t xml:space="preserve">Nepal</t>
  </si>
  <si>
    <t xml:space="preserve">Pakistan</t>
  </si>
  <si>
    <t xml:space="preserve">Palau*</t>
  </si>
  <si>
    <t xml:space="preserve">No NSDS</t>
  </si>
  <si>
    <t xml:space="preserve">Listed by SPC among countries without an NSDS</t>
  </si>
  <si>
    <t xml:space="preserve">Palestinian Authority*</t>
  </si>
  <si>
    <t xml:space="preserve">Palestine Data Strategy (PDS)</t>
  </si>
  <si>
    <t xml:space="preserve">National Strategy for the Development of Official Statistics (NSDS)</t>
  </si>
  <si>
    <t xml:space="preserve">2024 table: PDS 2022–2026; 2026 table: 2018–2022 — verify</t>
  </si>
  <si>
    <t xml:space="preserve">Papua New Guinea</t>
  </si>
  <si>
    <t xml:space="preserve">Strategy for the Development of Statistics</t>
  </si>
  <si>
    <t xml:space="preserve">2018–2027</t>
  </si>
  <si>
    <t xml:space="preserve">Philippines*</t>
  </si>
  <si>
    <t xml:space="preserve">Philippine Statistical Development Programme (PSDP)</t>
  </si>
  <si>
    <t xml:space="preserve">2023–2029</t>
  </si>
  <si>
    <t xml:space="preserve">Dropped from PARIS21 2026 table; PSDP still current</t>
  </si>
  <si>
    <t xml:space="preserve">Samoa</t>
  </si>
  <si>
    <t xml:space="preserve">Samoa Statistics Strategy</t>
  </si>
  <si>
    <t xml:space="preserve">Solomon Islands</t>
  </si>
  <si>
    <t xml:space="preserve">2016–2035</t>
  </si>
  <si>
    <t xml:space="preserve">Sri Lanka*</t>
  </si>
  <si>
    <t xml:space="preserve">Syrian Arab Republic</t>
  </si>
  <si>
    <t xml:space="preserve">Strategy for Statistical Capacity Building in Syria</t>
  </si>
  <si>
    <t xml:space="preserve">2006–2010</t>
  </si>
  <si>
    <t xml:space="preserve">Tajikistan</t>
  </si>
  <si>
    <t xml:space="preserve">National Strategy on Development of Statistical System</t>
  </si>
  <si>
    <t xml:space="preserve">Implementing — mid-term evaluation due 2025</t>
  </si>
  <si>
    <t xml:space="preserve">Was 'expired/being designed' in 2024; now implementing</t>
  </si>
  <si>
    <t xml:space="preserve">Thailand*</t>
  </si>
  <si>
    <t xml:space="preserve">Thailand Statistics System Master Plan No. 3</t>
  </si>
  <si>
    <t xml:space="preserve">Timor-Leste</t>
  </si>
  <si>
    <t xml:space="preserve">Tokelau*</t>
  </si>
  <si>
    <t xml:space="preserve">No NSDS located</t>
  </si>
  <si>
    <t xml:space="preserve">Tonga</t>
  </si>
  <si>
    <t xml:space="preserve">Tonga Strategy for Development of Statistics</t>
  </si>
  <si>
    <t xml:space="preserve">2025–2030</t>
  </si>
  <si>
    <t xml:space="preserve">Turkmenistan*</t>
  </si>
  <si>
    <t xml:space="preserve">State Program of Transition of Statistics System to Int'l Standards</t>
  </si>
  <si>
    <t xml:space="preserve">2010–2012</t>
  </si>
  <si>
    <t xml:space="preserve">No statistics-specific strategy identified</t>
  </si>
  <si>
    <t xml:space="preserve">Tuvalu</t>
  </si>
  <si>
    <t xml:space="preserve">2024 table listed 'implementation' without a range</t>
  </si>
  <si>
    <t xml:space="preserve">Uzbekistan</t>
  </si>
  <si>
    <t xml:space="preserve">Implementing — evaluation due 2025</t>
  </si>
  <si>
    <t xml:space="preserve">Other / status updated</t>
  </si>
  <si>
    <t xml:space="preserve">2026 table shows 'implementing' but no dated range</t>
  </si>
  <si>
    <t xml:space="preserve">Vanuatu</t>
  </si>
  <si>
    <t xml:space="preserve">2024: 'awaiting adoption' 2022–2026; 2026: implementing 2024–2028</t>
  </si>
  <si>
    <t xml:space="preserve">Viet Nam*</t>
  </si>
  <si>
    <t xml:space="preserve">Vietnam Statistical Development Strategy</t>
  </si>
  <si>
    <t xml:space="preserve">2011–2020</t>
  </si>
  <si>
    <t xml:space="preserve">Vietnam Statistical Development Strategy (vision to 2045)</t>
  </si>
  <si>
    <t xml:space="preserve">Approved Dec 2021 (Decision 2014/QĐ-TTg); 2024 table entry was outdated</t>
  </si>
  <si>
    <t xml:space="preserve">Yemen, Rep.</t>
  </si>
  <si>
    <t xml:space="preserve">First national strategy of the Central Bureau of Statistics (Roadmap)</t>
  </si>
  <si>
    <t xml:space="preserve">2023–</t>
  </si>
  <si>
    <t xml:space="preserve">Eastern Europe</t>
  </si>
  <si>
    <t xml:space="preserve">Armenia*</t>
  </si>
  <si>
    <t xml:space="preserve">Five-year Statistical Program</t>
  </si>
  <si>
    <t xml:space="preserve">Three-Year State Statistical Work Program</t>
  </si>
  <si>
    <t xml:space="preserve">rolling</t>
  </si>
  <si>
    <t xml:space="preserve">Implementing (rolling 3-year program)</t>
  </si>
  <si>
    <t xml:space="preserve">Moved from 5-year to rolling 3-year programs; current program in effect, exact span unconfirmed</t>
  </si>
  <si>
    <t xml:space="preserve">Bosnia and Herzegovina*</t>
  </si>
  <si>
    <t xml:space="preserve">Statistical Programme of Bosnia and Herzegovina</t>
  </si>
  <si>
    <t xml:space="preserve">2025–2028</t>
  </si>
  <si>
    <t xml:space="preserve">Georgia*</t>
  </si>
  <si>
    <t xml:space="preserve">National Strategy for the Development of Official Statistics</t>
  </si>
  <si>
    <t xml:space="preserve">National Strategy for the Development of Official Statistics of Georgia</t>
  </si>
  <si>
    <t xml:space="preserve">2024–2027</t>
  </si>
  <si>
    <t xml:space="preserve">Implementing — 2026–2027 action plan in preparation</t>
  </si>
  <si>
    <t xml:space="preserve">Approved 2024; dropped from PARIS21 2026 table</t>
  </si>
  <si>
    <t xml:space="preserve">Kosovo</t>
  </si>
  <si>
    <t xml:space="preserve">Programme of Official Statistics</t>
  </si>
  <si>
    <t xml:space="preserve">Moldova*</t>
  </si>
  <si>
    <t xml:space="preserve">National Statistical System development program</t>
  </si>
  <si>
    <t xml:space="preserve">PARIS21 NSDS table, 2024</t>
  </si>
  <si>
    <t xml:space="preserve">Not re-listed in PARIS21 2026 table; 2023–2026 program covers 2026</t>
  </si>
  <si>
    <t xml:space="preserve">Ukraine*</t>
  </si>
  <si>
    <t xml:space="preserve">Plan for the State Statistical Observations</t>
  </si>
  <si>
    <t xml:space="preserve">No newer NSDS identified</t>
  </si>
  <si>
    <t xml:space="preserve">Wartime context; dropped from PARIS21 2026 table</t>
  </si>
  <si>
    <t xml:space="preserve">Latin America &amp; Caribbean</t>
  </si>
  <si>
    <t xml:space="preserve">Antigua and Barbuda*</t>
  </si>
  <si>
    <t xml:space="preserve">Anguilla*</t>
  </si>
  <si>
    <t xml:space="preserve">Bahamas, The*</t>
  </si>
  <si>
    <t xml:space="preserve">Belize*</t>
  </si>
  <si>
    <t xml:space="preserve">2025</t>
  </si>
  <si>
    <t xml:space="preserve">2026 table lists 'Implementing 2025'; full range unclear</t>
  </si>
  <si>
    <t xml:space="preserve">Bolivia*</t>
  </si>
  <si>
    <t xml:space="preserve">Plan Estratégico Institucional (PEI)</t>
  </si>
  <si>
    <t xml:space="preserve">Expiring — successor not confirmed</t>
  </si>
  <si>
    <t xml:space="preserve">INE runs rolling PEIs; dropped from PARIS21 2026 table</t>
  </si>
  <si>
    <t xml:space="preserve">Dominica</t>
  </si>
  <si>
    <t xml:space="preserve">2026 table lists 'Implementing 2025'</t>
  </si>
  <si>
    <t xml:space="preserve">El Salvador*</t>
  </si>
  <si>
    <t xml:space="preserve">2011–2015</t>
  </si>
  <si>
    <t xml:space="preserve">Estrategia Nacional de Desarrollo Estadístico (in development)</t>
  </si>
  <si>
    <t xml:space="preserve">In development</t>
  </si>
  <si>
    <t xml:space="preserve">New statistics office (ONEC) established 2022; NSDS being developed</t>
  </si>
  <si>
    <t xml:space="preserve">Grenada</t>
  </si>
  <si>
    <t xml:space="preserve">Guatemala*</t>
  </si>
  <si>
    <t xml:space="preserve">PEI 2025–2029 dated April 2024; dropped from PARIS21 2026 table</t>
  </si>
  <si>
    <t xml:space="preserve">Guyana</t>
  </si>
  <si>
    <t xml:space="preserve">2026 table records a 2020–2024 strategy</t>
  </si>
  <si>
    <t xml:space="preserve">Haiti</t>
  </si>
  <si>
    <t xml:space="preserve">2016–2021</t>
  </si>
  <si>
    <t xml:space="preserve">Honduras</t>
  </si>
  <si>
    <t xml:space="preserve">Estrategia Nacional para el Desarrollo Estadístico de Honduras</t>
  </si>
  <si>
    <t xml:space="preserve">2023–2033</t>
  </si>
  <si>
    <t xml:space="preserve">(unclear)</t>
  </si>
  <si>
    <t xml:space="preserve">Expired (per 2026 table)</t>
  </si>
  <si>
    <t xml:space="preserve">2024 table: NSDS 2023–2033; 2026 table: expired 2011–2015 — verify</t>
  </si>
  <si>
    <t xml:space="preserve">Jamaica*</t>
  </si>
  <si>
    <t xml:space="preserve">Nicaragua</t>
  </si>
  <si>
    <t xml:space="preserve">Estrategia Nacional de Desarrollo Estadístico</t>
  </si>
  <si>
    <t xml:space="preserve">Paraguay*</t>
  </si>
  <si>
    <t xml:space="preserve">Saint Lucia</t>
  </si>
  <si>
    <t xml:space="preserve">2024 table: 2022–2026; 2026 table lists 'Implementing 2025'</t>
  </si>
  <si>
    <t xml:space="preserve">Saint Vincent and the Grenadines</t>
  </si>
  <si>
    <t xml:space="preserve">Suriname*</t>
  </si>
  <si>
    <t xml:space="preserve">Not yet designed</t>
  </si>
  <si>
    <t xml:space="preserve">Trinidad and Tobago*</t>
  </si>
  <si>
    <t xml:space="preserve">Summary — NSDS status vs the 2024 PARIS21 table</t>
  </si>
  <si>
    <t xml:space="preserve">Count</t>
  </si>
  <si>
    <t xml:space="preserve">Share</t>
  </si>
  <si>
    <t xml:space="preserve">TOTAL</t>
  </si>
  <si>
    <t xml:space="preserve">Method: Each country from the 2024 PARIS21 NSDS Summary Table was checked against PARIS21's January 2026 table. The ~23 countries PARIS21 dropped from the 2026 edition were verified via individual web searches in May 2026. 'Newer NSDS adopted' = a more recent strategy than the 2024 entry. 'Discrepancy — verify' = the 2024 and 2026 PARIS21 tables conflict. Entries marked '—' had no name/range available in the source.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</si>
</sst>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9C2A2A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1D5E7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DDEBF7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F8080"/>
        <bgColor rgb="FFFF99CC"/>
      </patternFill>
    </fill>
    <fill>
      <patternFill patternType="solid">
        <fgColor rgb="FFD9D9D9"/>
        <bgColor rgb="FFE1D5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2A2A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1D5E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2A2A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27"/>
    <col collapsed="false" customWidth="true" hidden="false" outlineLevel="0" max="10" min="10" style="0" width="24"/>
    <col collapsed="false" customWidth="true" hidden="false" outlineLevel="0" max="11" min="11" style="0" width="4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22.35" hidden="false" customHeight="false" outlineLevel="0" collapsed="false">
      <c r="A4" s="4" t="s">
        <v>13</v>
      </c>
      <c r="B4" s="4" t="s">
        <v>14</v>
      </c>
      <c r="C4" s="4" t="s">
        <v>15</v>
      </c>
      <c r="D4" s="4" t="s">
        <v>16</v>
      </c>
      <c r="E4" s="4" t="s">
        <v>15</v>
      </c>
      <c r="F4" s="4" t="s">
        <v>16</v>
      </c>
      <c r="G4" s="4" t="s">
        <v>17</v>
      </c>
      <c r="H4" s="4" t="s">
        <v>18</v>
      </c>
      <c r="I4" s="5" t="s">
        <v>19</v>
      </c>
      <c r="J4" s="4" t="s">
        <v>20</v>
      </c>
      <c r="K4" s="4" t="s">
        <v>21</v>
      </c>
    </row>
    <row r="5" customFormat="false" ht="22.35" hidden="false" customHeight="false" outlineLevel="0" collapsed="false">
      <c r="A5" s="4" t="s">
        <v>13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24</v>
      </c>
      <c r="G5" s="4" t="s">
        <v>26</v>
      </c>
      <c r="H5" s="6" t="s">
        <v>27</v>
      </c>
      <c r="I5" s="7" t="s">
        <v>28</v>
      </c>
      <c r="J5" s="4" t="s">
        <v>20</v>
      </c>
      <c r="K5" s="4"/>
    </row>
    <row r="6" customFormat="false" ht="22.35" hidden="false" customHeight="false" outlineLevel="0" collapsed="false">
      <c r="A6" s="4" t="s">
        <v>13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26</v>
      </c>
      <c r="H6" s="6" t="s">
        <v>27</v>
      </c>
      <c r="I6" s="7" t="s">
        <v>28</v>
      </c>
      <c r="J6" s="4" t="s">
        <v>20</v>
      </c>
      <c r="K6" s="4" t="s">
        <v>34</v>
      </c>
    </row>
    <row r="7" customFormat="false" ht="22.35" hidden="false" customHeight="false" outlineLevel="0" collapsed="false">
      <c r="A7" s="4" t="s">
        <v>13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8" t="s">
        <v>41</v>
      </c>
      <c r="I7" s="9" t="s">
        <v>42</v>
      </c>
      <c r="J7" s="4" t="s">
        <v>20</v>
      </c>
      <c r="K7" s="4"/>
    </row>
    <row r="8" customFormat="false" ht="22.35" hidden="false" customHeight="false" outlineLevel="0" collapsed="false">
      <c r="A8" s="4" t="s">
        <v>13</v>
      </c>
      <c r="B8" s="4" t="s">
        <v>43</v>
      </c>
      <c r="C8" s="4" t="s">
        <v>44</v>
      </c>
      <c r="D8" s="4" t="s">
        <v>33</v>
      </c>
      <c r="E8" s="4" t="s">
        <v>45</v>
      </c>
      <c r="F8" s="4" t="s">
        <v>39</v>
      </c>
      <c r="G8" s="4" t="s">
        <v>40</v>
      </c>
      <c r="H8" s="8" t="s">
        <v>41</v>
      </c>
      <c r="I8" s="9" t="s">
        <v>42</v>
      </c>
      <c r="J8" s="4" t="s">
        <v>20</v>
      </c>
      <c r="K8" s="4"/>
    </row>
    <row r="9" customFormat="false" ht="22.35" hidden="false" customHeight="false" outlineLevel="0" collapsed="false">
      <c r="A9" s="4" t="s">
        <v>13</v>
      </c>
      <c r="B9" s="4" t="s">
        <v>46</v>
      </c>
      <c r="C9" s="4" t="s">
        <v>15</v>
      </c>
      <c r="D9" s="4" t="s">
        <v>47</v>
      </c>
      <c r="E9" s="4" t="s">
        <v>15</v>
      </c>
      <c r="F9" s="4" t="s">
        <v>47</v>
      </c>
      <c r="G9" s="4" t="s">
        <v>48</v>
      </c>
      <c r="H9" s="8" t="s">
        <v>41</v>
      </c>
      <c r="I9" s="10" t="s">
        <v>49</v>
      </c>
      <c r="J9" s="4" t="s">
        <v>20</v>
      </c>
      <c r="K9" s="4"/>
    </row>
    <row r="10" customFormat="false" ht="22.35" hidden="false" customHeight="false" outlineLevel="0" collapsed="false">
      <c r="A10" s="4" t="s">
        <v>13</v>
      </c>
      <c r="B10" s="4" t="s">
        <v>50</v>
      </c>
      <c r="C10" s="4" t="s">
        <v>51</v>
      </c>
      <c r="D10" s="4" t="s">
        <v>47</v>
      </c>
      <c r="E10" s="4" t="s">
        <v>15</v>
      </c>
      <c r="F10" s="4" t="s">
        <v>47</v>
      </c>
      <c r="G10" s="4" t="s">
        <v>48</v>
      </c>
      <c r="H10" s="8" t="s">
        <v>41</v>
      </c>
      <c r="I10" s="10" t="s">
        <v>49</v>
      </c>
      <c r="J10" s="4" t="s">
        <v>20</v>
      </c>
      <c r="K10" s="4"/>
    </row>
    <row r="11" customFormat="false" ht="22.35" hidden="false" customHeight="false" outlineLevel="0" collapsed="false">
      <c r="A11" s="4" t="s">
        <v>13</v>
      </c>
      <c r="B11" s="4" t="s">
        <v>52</v>
      </c>
      <c r="C11" s="4" t="s">
        <v>53</v>
      </c>
      <c r="D11" s="4" t="s">
        <v>54</v>
      </c>
      <c r="E11" s="4" t="s">
        <v>15</v>
      </c>
      <c r="F11" s="4" t="s">
        <v>54</v>
      </c>
      <c r="G11" s="4" t="s">
        <v>55</v>
      </c>
      <c r="H11" s="8" t="s">
        <v>41</v>
      </c>
      <c r="I11" s="10" t="s">
        <v>49</v>
      </c>
      <c r="J11" s="4" t="s">
        <v>20</v>
      </c>
      <c r="K11" s="4"/>
    </row>
    <row r="12" customFormat="false" ht="22.35" hidden="false" customHeight="false" outlineLevel="0" collapsed="false">
      <c r="A12" s="4" t="s">
        <v>13</v>
      </c>
      <c r="B12" s="4" t="s">
        <v>56</v>
      </c>
      <c r="C12" s="4" t="s">
        <v>15</v>
      </c>
      <c r="D12" s="4" t="s">
        <v>33</v>
      </c>
      <c r="E12" s="4" t="s">
        <v>15</v>
      </c>
      <c r="F12" s="4" t="s">
        <v>33</v>
      </c>
      <c r="G12" s="4" t="s">
        <v>26</v>
      </c>
      <c r="H12" s="6" t="s">
        <v>27</v>
      </c>
      <c r="I12" s="7" t="s">
        <v>28</v>
      </c>
      <c r="J12" s="4" t="s">
        <v>20</v>
      </c>
      <c r="K12" s="4"/>
    </row>
    <row r="13" customFormat="false" ht="22.35" hidden="false" customHeight="false" outlineLevel="0" collapsed="false">
      <c r="A13" s="4" t="s">
        <v>13</v>
      </c>
      <c r="B13" s="4" t="s">
        <v>57</v>
      </c>
      <c r="C13" s="4" t="s">
        <v>58</v>
      </c>
      <c r="D13" s="4" t="s">
        <v>47</v>
      </c>
      <c r="E13" s="4" t="s">
        <v>15</v>
      </c>
      <c r="F13" s="4" t="s">
        <v>47</v>
      </c>
      <c r="G13" s="4" t="s">
        <v>48</v>
      </c>
      <c r="H13" s="8" t="s">
        <v>41</v>
      </c>
      <c r="I13" s="10" t="s">
        <v>49</v>
      </c>
      <c r="J13" s="4" t="s">
        <v>20</v>
      </c>
      <c r="K13" s="4"/>
    </row>
    <row r="14" customFormat="false" ht="22.35" hidden="false" customHeight="false" outlineLevel="0" collapsed="false">
      <c r="A14" s="4" t="s">
        <v>13</v>
      </c>
      <c r="B14" s="4" t="s">
        <v>59</v>
      </c>
      <c r="C14" s="4" t="s">
        <v>15</v>
      </c>
      <c r="D14" s="4" t="s">
        <v>60</v>
      </c>
      <c r="E14" s="4" t="s">
        <v>15</v>
      </c>
      <c r="F14" s="4" t="s">
        <v>39</v>
      </c>
      <c r="G14" s="4" t="s">
        <v>61</v>
      </c>
      <c r="H14" s="8" t="s">
        <v>41</v>
      </c>
      <c r="I14" s="9" t="s">
        <v>42</v>
      </c>
      <c r="J14" s="4" t="s">
        <v>20</v>
      </c>
      <c r="K14" s="4"/>
    </row>
    <row r="15" customFormat="false" ht="22.35" hidden="false" customHeight="false" outlineLevel="0" collapsed="false">
      <c r="A15" s="4" t="s">
        <v>13</v>
      </c>
      <c r="B15" s="4" t="s">
        <v>62</v>
      </c>
      <c r="C15" s="4" t="s">
        <v>15</v>
      </c>
      <c r="D15" s="4" t="s">
        <v>47</v>
      </c>
      <c r="E15" s="4" t="s">
        <v>15</v>
      </c>
      <c r="F15" s="4" t="s">
        <v>47</v>
      </c>
      <c r="G15" s="4" t="s">
        <v>48</v>
      </c>
      <c r="H15" s="8" t="s">
        <v>41</v>
      </c>
      <c r="I15" s="10" t="s">
        <v>49</v>
      </c>
      <c r="J15" s="4" t="s">
        <v>20</v>
      </c>
      <c r="K15" s="4"/>
    </row>
    <row r="16" customFormat="false" ht="22.35" hidden="false" customHeight="false" outlineLevel="0" collapsed="false">
      <c r="A16" s="4" t="s">
        <v>13</v>
      </c>
      <c r="B16" s="4" t="s">
        <v>63</v>
      </c>
      <c r="C16" s="4" t="s">
        <v>15</v>
      </c>
      <c r="D16" s="4" t="s">
        <v>64</v>
      </c>
      <c r="E16" s="4" t="s">
        <v>15</v>
      </c>
      <c r="F16" s="4" t="s">
        <v>64</v>
      </c>
      <c r="G16" s="4" t="s">
        <v>65</v>
      </c>
      <c r="H16" s="6" t="s">
        <v>27</v>
      </c>
      <c r="I16" s="7" t="s">
        <v>28</v>
      </c>
      <c r="J16" s="4" t="s">
        <v>20</v>
      </c>
      <c r="K16" s="4"/>
    </row>
    <row r="17" customFormat="false" ht="22.35" hidden="false" customHeight="false" outlineLevel="0" collapsed="false">
      <c r="A17" s="4" t="s">
        <v>13</v>
      </c>
      <c r="B17" s="4" t="s">
        <v>66</v>
      </c>
      <c r="C17" s="4" t="s">
        <v>15</v>
      </c>
      <c r="D17" s="4" t="s">
        <v>67</v>
      </c>
      <c r="E17" s="4" t="s">
        <v>15</v>
      </c>
      <c r="F17" s="4" t="s">
        <v>39</v>
      </c>
      <c r="G17" s="4" t="s">
        <v>68</v>
      </c>
      <c r="H17" s="4" t="s">
        <v>69</v>
      </c>
      <c r="I17" s="11" t="s">
        <v>70</v>
      </c>
      <c r="J17" s="4" t="s">
        <v>20</v>
      </c>
      <c r="K17" s="4" t="s">
        <v>71</v>
      </c>
    </row>
    <row r="18" customFormat="false" ht="22.35" hidden="false" customHeight="false" outlineLevel="0" collapsed="false">
      <c r="A18" s="4" t="s">
        <v>13</v>
      </c>
      <c r="B18" s="4" t="s">
        <v>72</v>
      </c>
      <c r="C18" s="4" t="s">
        <v>15</v>
      </c>
      <c r="D18" s="4" t="s">
        <v>73</v>
      </c>
      <c r="E18" s="4" t="s">
        <v>15</v>
      </c>
      <c r="F18" s="4" t="s">
        <v>74</v>
      </c>
      <c r="G18" s="4" t="s">
        <v>55</v>
      </c>
      <c r="H18" s="8" t="s">
        <v>41</v>
      </c>
      <c r="I18" s="9" t="s">
        <v>42</v>
      </c>
      <c r="J18" s="4" t="s">
        <v>20</v>
      </c>
      <c r="K18" s="4"/>
    </row>
    <row r="19" customFormat="false" ht="22.35" hidden="false" customHeight="false" outlineLevel="0" collapsed="false">
      <c r="A19" s="4" t="s">
        <v>13</v>
      </c>
      <c r="B19" s="4" t="s">
        <v>75</v>
      </c>
      <c r="C19" s="4" t="s">
        <v>25</v>
      </c>
      <c r="D19" s="4" t="s">
        <v>67</v>
      </c>
      <c r="E19" s="4" t="s">
        <v>76</v>
      </c>
      <c r="F19" s="4" t="s">
        <v>67</v>
      </c>
      <c r="G19" s="4" t="s">
        <v>65</v>
      </c>
      <c r="H19" s="6" t="s">
        <v>27</v>
      </c>
      <c r="I19" s="7" t="s">
        <v>28</v>
      </c>
      <c r="J19" s="4" t="s">
        <v>20</v>
      </c>
      <c r="K19" s="4" t="s">
        <v>77</v>
      </c>
    </row>
    <row r="20" customFormat="false" ht="22.35" hidden="false" customHeight="false" outlineLevel="0" collapsed="false">
      <c r="A20" s="4" t="s">
        <v>13</v>
      </c>
      <c r="B20" s="4" t="s">
        <v>78</v>
      </c>
      <c r="C20" s="4" t="s">
        <v>15</v>
      </c>
      <c r="D20" s="4" t="s">
        <v>47</v>
      </c>
      <c r="E20" s="4" t="s">
        <v>15</v>
      </c>
      <c r="F20" s="4" t="s">
        <v>47</v>
      </c>
      <c r="G20" s="4" t="s">
        <v>48</v>
      </c>
      <c r="H20" s="8" t="s">
        <v>41</v>
      </c>
      <c r="I20" s="10" t="s">
        <v>49</v>
      </c>
      <c r="J20" s="4" t="s">
        <v>20</v>
      </c>
      <c r="K20" s="4"/>
    </row>
    <row r="21" customFormat="false" ht="22.35" hidden="false" customHeight="false" outlineLevel="0" collapsed="false">
      <c r="A21" s="4" t="s">
        <v>13</v>
      </c>
      <c r="B21" s="4" t="s">
        <v>79</v>
      </c>
      <c r="C21" s="4" t="s">
        <v>80</v>
      </c>
      <c r="D21" s="4" t="s">
        <v>81</v>
      </c>
      <c r="E21" s="4" t="s">
        <v>82</v>
      </c>
      <c r="F21" s="4" t="s">
        <v>83</v>
      </c>
      <c r="G21" s="4" t="s">
        <v>55</v>
      </c>
      <c r="H21" s="8" t="s">
        <v>41</v>
      </c>
      <c r="I21" s="9" t="s">
        <v>42</v>
      </c>
      <c r="J21" s="4" t="s">
        <v>20</v>
      </c>
      <c r="K21" s="4"/>
    </row>
    <row r="22" customFormat="false" ht="22.35" hidden="false" customHeight="false" outlineLevel="0" collapsed="false">
      <c r="A22" s="4" t="s">
        <v>13</v>
      </c>
      <c r="B22" s="4" t="s">
        <v>84</v>
      </c>
      <c r="C22" s="4" t="s">
        <v>85</v>
      </c>
      <c r="D22" s="4" t="s">
        <v>86</v>
      </c>
      <c r="E22" s="4" t="s">
        <v>25</v>
      </c>
      <c r="F22" s="4" t="s">
        <v>87</v>
      </c>
      <c r="G22" s="4" t="s">
        <v>48</v>
      </c>
      <c r="H22" s="8" t="s">
        <v>41</v>
      </c>
      <c r="I22" s="10" t="s">
        <v>49</v>
      </c>
      <c r="J22" s="4" t="s">
        <v>20</v>
      </c>
      <c r="K22" s="4"/>
    </row>
    <row r="23" customFormat="false" ht="22.35" hidden="false" customHeight="false" outlineLevel="0" collapsed="false">
      <c r="A23" s="4" t="s">
        <v>13</v>
      </c>
      <c r="B23" s="4" t="s">
        <v>88</v>
      </c>
      <c r="C23" s="4" t="s">
        <v>89</v>
      </c>
      <c r="D23" s="4" t="s">
        <v>90</v>
      </c>
      <c r="E23" s="4" t="s">
        <v>15</v>
      </c>
      <c r="F23" s="4" t="s">
        <v>91</v>
      </c>
      <c r="G23" s="4" t="s">
        <v>26</v>
      </c>
      <c r="H23" s="6" t="s">
        <v>27</v>
      </c>
      <c r="I23" s="9" t="s">
        <v>42</v>
      </c>
      <c r="J23" s="4" t="s">
        <v>20</v>
      </c>
      <c r="K23" s="4" t="s">
        <v>92</v>
      </c>
    </row>
    <row r="24" customFormat="false" ht="22.35" hidden="false" customHeight="false" outlineLevel="0" collapsed="false">
      <c r="A24" s="4" t="s">
        <v>13</v>
      </c>
      <c r="B24" s="4" t="s">
        <v>93</v>
      </c>
      <c r="C24" s="4" t="s">
        <v>94</v>
      </c>
      <c r="D24" s="4" t="s">
        <v>95</v>
      </c>
      <c r="E24" s="4" t="s">
        <v>25</v>
      </c>
      <c r="F24" s="4" t="s">
        <v>95</v>
      </c>
      <c r="G24" s="4" t="s">
        <v>55</v>
      </c>
      <c r="H24" s="8" t="s">
        <v>41</v>
      </c>
      <c r="I24" s="10" t="s">
        <v>49</v>
      </c>
      <c r="J24" s="4" t="s">
        <v>20</v>
      </c>
      <c r="K24" s="4"/>
    </row>
    <row r="25" customFormat="false" ht="22.35" hidden="false" customHeight="false" outlineLevel="0" collapsed="false">
      <c r="A25" s="4" t="s">
        <v>13</v>
      </c>
      <c r="B25" s="4" t="s">
        <v>96</v>
      </c>
      <c r="C25" s="4" t="s">
        <v>97</v>
      </c>
      <c r="D25" s="4" t="s">
        <v>98</v>
      </c>
      <c r="E25" s="4" t="s">
        <v>99</v>
      </c>
      <c r="F25" s="4" t="s">
        <v>16</v>
      </c>
      <c r="G25" s="4" t="s">
        <v>68</v>
      </c>
      <c r="H25" s="6" t="s">
        <v>27</v>
      </c>
      <c r="I25" s="11" t="s">
        <v>70</v>
      </c>
      <c r="J25" s="4" t="s">
        <v>20</v>
      </c>
      <c r="K25" s="4" t="s">
        <v>100</v>
      </c>
    </row>
    <row r="26" customFormat="false" ht="22.35" hidden="false" customHeight="false" outlineLevel="0" collapsed="false">
      <c r="A26" s="4" t="s">
        <v>13</v>
      </c>
      <c r="B26" s="4" t="s">
        <v>101</v>
      </c>
      <c r="C26" s="4" t="s">
        <v>15</v>
      </c>
      <c r="D26" s="4" t="s">
        <v>33</v>
      </c>
      <c r="E26" s="4" t="s">
        <v>15</v>
      </c>
      <c r="F26" s="4" t="s">
        <v>33</v>
      </c>
      <c r="G26" s="4" t="s">
        <v>26</v>
      </c>
      <c r="H26" s="6" t="s">
        <v>27</v>
      </c>
      <c r="I26" s="7" t="s">
        <v>28</v>
      </c>
      <c r="J26" s="4" t="s">
        <v>20</v>
      </c>
      <c r="K26" s="4"/>
    </row>
    <row r="27" customFormat="false" ht="22.35" hidden="false" customHeight="false" outlineLevel="0" collapsed="false">
      <c r="A27" s="4" t="s">
        <v>13</v>
      </c>
      <c r="B27" s="4" t="s">
        <v>102</v>
      </c>
      <c r="C27" s="4" t="s">
        <v>51</v>
      </c>
      <c r="D27" s="4" t="s">
        <v>103</v>
      </c>
      <c r="E27" s="4" t="s">
        <v>51</v>
      </c>
      <c r="F27" s="4" t="s">
        <v>103</v>
      </c>
      <c r="G27" s="4" t="s">
        <v>26</v>
      </c>
      <c r="H27" s="6" t="s">
        <v>27</v>
      </c>
      <c r="I27" s="7" t="s">
        <v>28</v>
      </c>
      <c r="J27" s="4" t="s">
        <v>20</v>
      </c>
      <c r="K27" s="4"/>
    </row>
    <row r="28" customFormat="false" ht="22.35" hidden="false" customHeight="false" outlineLevel="0" collapsed="false">
      <c r="A28" s="4" t="s">
        <v>13</v>
      </c>
      <c r="B28" s="4" t="s">
        <v>104</v>
      </c>
      <c r="C28" s="4" t="s">
        <v>25</v>
      </c>
      <c r="D28" s="4" t="s">
        <v>105</v>
      </c>
      <c r="E28" s="4" t="s">
        <v>106</v>
      </c>
      <c r="F28" s="4" t="s">
        <v>107</v>
      </c>
      <c r="G28" s="4" t="s">
        <v>55</v>
      </c>
      <c r="H28" s="8" t="s">
        <v>41</v>
      </c>
      <c r="I28" s="10" t="s">
        <v>49</v>
      </c>
      <c r="J28" s="4" t="s">
        <v>20</v>
      </c>
      <c r="K28" s="4"/>
    </row>
    <row r="29" customFormat="false" ht="22.35" hidden="false" customHeight="false" outlineLevel="0" collapsed="false">
      <c r="A29" s="4" t="s">
        <v>13</v>
      </c>
      <c r="B29" s="4" t="s">
        <v>108</v>
      </c>
      <c r="C29" s="4" t="s">
        <v>25</v>
      </c>
      <c r="D29" s="4" t="s">
        <v>109</v>
      </c>
      <c r="E29" s="4" t="s">
        <v>25</v>
      </c>
      <c r="F29" s="4" t="s">
        <v>110</v>
      </c>
      <c r="G29" s="4" t="s">
        <v>55</v>
      </c>
      <c r="H29" s="8" t="s">
        <v>41</v>
      </c>
      <c r="I29" s="10" t="s">
        <v>49</v>
      </c>
      <c r="J29" s="4" t="s">
        <v>20</v>
      </c>
      <c r="K29" s="4"/>
    </row>
    <row r="30" customFormat="false" ht="22.35" hidden="false" customHeight="false" outlineLevel="0" collapsed="false">
      <c r="A30" s="4" t="s">
        <v>13</v>
      </c>
      <c r="B30" s="4" t="s">
        <v>111</v>
      </c>
      <c r="C30" s="4" t="s">
        <v>25</v>
      </c>
      <c r="D30" s="4" t="s">
        <v>73</v>
      </c>
      <c r="E30" s="4" t="s">
        <v>25</v>
      </c>
      <c r="F30" s="4" t="s">
        <v>16</v>
      </c>
      <c r="G30" s="4" t="s">
        <v>68</v>
      </c>
      <c r="H30" s="6" t="s">
        <v>27</v>
      </c>
      <c r="I30" s="11" t="s">
        <v>70</v>
      </c>
      <c r="J30" s="4" t="s">
        <v>20</v>
      </c>
      <c r="K30" s="4"/>
    </row>
    <row r="31" customFormat="false" ht="22.35" hidden="false" customHeight="false" outlineLevel="0" collapsed="false">
      <c r="A31" s="4" t="s">
        <v>13</v>
      </c>
      <c r="B31" s="4" t="s">
        <v>112</v>
      </c>
      <c r="C31" s="4" t="s">
        <v>25</v>
      </c>
      <c r="D31" s="4" t="s">
        <v>113</v>
      </c>
      <c r="E31" s="4" t="s">
        <v>114</v>
      </c>
      <c r="F31" s="4" t="s">
        <v>113</v>
      </c>
      <c r="G31" s="4" t="s">
        <v>26</v>
      </c>
      <c r="H31" s="6" t="s">
        <v>27</v>
      </c>
      <c r="I31" s="7" t="s">
        <v>28</v>
      </c>
      <c r="J31" s="4" t="s">
        <v>20</v>
      </c>
      <c r="K31" s="4"/>
    </row>
    <row r="32" customFormat="false" ht="22.35" hidden="false" customHeight="false" outlineLevel="0" collapsed="false">
      <c r="A32" s="4" t="s">
        <v>13</v>
      </c>
      <c r="B32" s="4" t="s">
        <v>115</v>
      </c>
      <c r="C32" s="4" t="s">
        <v>116</v>
      </c>
      <c r="D32" s="4" t="s">
        <v>117</v>
      </c>
      <c r="E32" s="4" t="s">
        <v>15</v>
      </c>
      <c r="F32" s="4" t="s">
        <v>117</v>
      </c>
      <c r="G32" s="4" t="s">
        <v>55</v>
      </c>
      <c r="H32" s="8" t="s">
        <v>41</v>
      </c>
      <c r="I32" s="10" t="s">
        <v>49</v>
      </c>
      <c r="J32" s="4" t="s">
        <v>20</v>
      </c>
      <c r="K32" s="4"/>
    </row>
    <row r="33" customFormat="false" ht="22.35" hidden="false" customHeight="false" outlineLevel="0" collapsed="false">
      <c r="A33" s="4" t="s">
        <v>13</v>
      </c>
      <c r="B33" s="4" t="s">
        <v>118</v>
      </c>
      <c r="C33" s="4" t="s">
        <v>119</v>
      </c>
      <c r="D33" s="4" t="s">
        <v>120</v>
      </c>
      <c r="E33" s="4" t="s">
        <v>119</v>
      </c>
      <c r="F33" s="4" t="s">
        <v>39</v>
      </c>
      <c r="G33" s="4" t="s">
        <v>40</v>
      </c>
      <c r="H33" s="8" t="s">
        <v>41</v>
      </c>
      <c r="I33" s="9" t="s">
        <v>42</v>
      </c>
      <c r="J33" s="4" t="s">
        <v>20</v>
      </c>
      <c r="K33" s="4"/>
    </row>
    <row r="34" customFormat="false" ht="22.35" hidden="false" customHeight="false" outlineLevel="0" collapsed="false">
      <c r="A34" s="4" t="s">
        <v>13</v>
      </c>
      <c r="B34" s="4" t="s">
        <v>121</v>
      </c>
      <c r="C34" s="4" t="s">
        <v>122</v>
      </c>
      <c r="D34" s="4" t="s">
        <v>98</v>
      </c>
      <c r="E34" s="4" t="s">
        <v>44</v>
      </c>
      <c r="F34" s="4" t="s">
        <v>39</v>
      </c>
      <c r="G34" s="4" t="s">
        <v>40</v>
      </c>
      <c r="H34" s="8" t="s">
        <v>41</v>
      </c>
      <c r="I34" s="9" t="s">
        <v>42</v>
      </c>
      <c r="J34" s="4" t="s">
        <v>20</v>
      </c>
      <c r="K34" s="4"/>
    </row>
    <row r="35" customFormat="false" ht="22.35" hidden="false" customHeight="false" outlineLevel="0" collapsed="false">
      <c r="A35" s="4" t="s">
        <v>13</v>
      </c>
      <c r="B35" s="4" t="s">
        <v>123</v>
      </c>
      <c r="C35" s="4" t="s">
        <v>124</v>
      </c>
      <c r="D35" s="4" t="s">
        <v>54</v>
      </c>
      <c r="E35" s="4" t="s">
        <v>125</v>
      </c>
      <c r="F35" s="4" t="s">
        <v>126</v>
      </c>
      <c r="G35" s="4" t="s">
        <v>26</v>
      </c>
      <c r="H35" s="8" t="s">
        <v>41</v>
      </c>
      <c r="I35" s="12" t="s">
        <v>127</v>
      </c>
      <c r="J35" s="4" t="s">
        <v>20</v>
      </c>
      <c r="K35" s="4" t="s">
        <v>128</v>
      </c>
    </row>
    <row r="36" customFormat="false" ht="22.35" hidden="false" customHeight="false" outlineLevel="0" collapsed="false">
      <c r="A36" s="4" t="s">
        <v>13</v>
      </c>
      <c r="B36" s="4" t="s">
        <v>129</v>
      </c>
      <c r="C36" s="4" t="s">
        <v>130</v>
      </c>
      <c r="D36" s="4" t="s">
        <v>131</v>
      </c>
      <c r="E36" s="4" t="s">
        <v>130</v>
      </c>
      <c r="F36" s="4" t="s">
        <v>131</v>
      </c>
      <c r="G36" s="4" t="s">
        <v>26</v>
      </c>
      <c r="H36" s="6" t="s">
        <v>27</v>
      </c>
      <c r="I36" s="7" t="s">
        <v>28</v>
      </c>
      <c r="J36" s="4" t="s">
        <v>20</v>
      </c>
      <c r="K36" s="4"/>
    </row>
    <row r="37" customFormat="false" ht="22.35" hidden="false" customHeight="false" outlineLevel="0" collapsed="false">
      <c r="A37" s="4" t="s">
        <v>13</v>
      </c>
      <c r="B37" s="4" t="s">
        <v>132</v>
      </c>
      <c r="C37" s="4" t="s">
        <v>133</v>
      </c>
      <c r="D37" s="4" t="s">
        <v>16</v>
      </c>
      <c r="E37" s="4" t="s">
        <v>133</v>
      </c>
      <c r="F37" s="4" t="s">
        <v>16</v>
      </c>
      <c r="G37" s="4" t="s">
        <v>65</v>
      </c>
      <c r="H37" s="6" t="s">
        <v>27</v>
      </c>
      <c r="I37" s="7" t="s">
        <v>28</v>
      </c>
      <c r="J37" s="4" t="s">
        <v>20</v>
      </c>
      <c r="K37" s="4"/>
    </row>
    <row r="38" customFormat="false" ht="22.35" hidden="false" customHeight="false" outlineLevel="0" collapsed="false">
      <c r="A38" s="4" t="s">
        <v>13</v>
      </c>
      <c r="B38" s="4" t="s">
        <v>134</v>
      </c>
      <c r="C38" s="4" t="s">
        <v>135</v>
      </c>
      <c r="D38" s="4" t="s">
        <v>98</v>
      </c>
      <c r="E38" s="4" t="s">
        <v>25</v>
      </c>
      <c r="F38" s="4" t="s">
        <v>74</v>
      </c>
      <c r="G38" s="4" t="s">
        <v>40</v>
      </c>
      <c r="H38" s="8" t="s">
        <v>41</v>
      </c>
      <c r="I38" s="9" t="s">
        <v>42</v>
      </c>
      <c r="J38" s="4" t="s">
        <v>20</v>
      </c>
      <c r="K38" s="4"/>
    </row>
    <row r="39" customFormat="false" ht="22.35" hidden="false" customHeight="false" outlineLevel="0" collapsed="false">
      <c r="A39" s="4" t="s">
        <v>13</v>
      </c>
      <c r="B39" s="4" t="s">
        <v>136</v>
      </c>
      <c r="C39" s="4" t="s">
        <v>137</v>
      </c>
      <c r="D39" s="4" t="s">
        <v>138</v>
      </c>
      <c r="E39" s="4" t="s">
        <v>25</v>
      </c>
      <c r="F39" s="4" t="s">
        <v>105</v>
      </c>
      <c r="G39" s="4" t="s">
        <v>55</v>
      </c>
      <c r="H39" s="8" t="s">
        <v>41</v>
      </c>
      <c r="I39" s="10" t="s">
        <v>49</v>
      </c>
      <c r="J39" s="4" t="s">
        <v>20</v>
      </c>
      <c r="K39" s="4"/>
    </row>
    <row r="40" customFormat="false" ht="22.35" hidden="false" customHeight="false" outlineLevel="0" collapsed="false">
      <c r="A40" s="4" t="s">
        <v>13</v>
      </c>
      <c r="B40" s="4" t="s">
        <v>139</v>
      </c>
      <c r="C40" s="4" t="s">
        <v>15</v>
      </c>
      <c r="D40" s="4" t="s">
        <v>47</v>
      </c>
      <c r="E40" s="4" t="s">
        <v>15</v>
      </c>
      <c r="F40" s="4" t="s">
        <v>47</v>
      </c>
      <c r="G40" s="4" t="s">
        <v>48</v>
      </c>
      <c r="H40" s="8" t="s">
        <v>41</v>
      </c>
      <c r="I40" s="10" t="s">
        <v>49</v>
      </c>
      <c r="J40" s="4" t="s">
        <v>20</v>
      </c>
      <c r="K40" s="4"/>
    </row>
    <row r="41" customFormat="false" ht="22.35" hidden="false" customHeight="false" outlineLevel="0" collapsed="false">
      <c r="A41" s="4" t="s">
        <v>13</v>
      </c>
      <c r="B41" s="4" t="s">
        <v>140</v>
      </c>
      <c r="C41" s="4" t="s">
        <v>141</v>
      </c>
      <c r="D41" s="4" t="s">
        <v>67</v>
      </c>
      <c r="E41" s="4" t="s">
        <v>142</v>
      </c>
      <c r="F41" s="4" t="s">
        <v>95</v>
      </c>
      <c r="G41" s="4" t="s">
        <v>55</v>
      </c>
      <c r="H41" s="8" t="s">
        <v>41</v>
      </c>
      <c r="I41" s="9" t="s">
        <v>42</v>
      </c>
      <c r="J41" s="4" t="s">
        <v>20</v>
      </c>
      <c r="K41" s="4"/>
    </row>
    <row r="42" customFormat="false" ht="22.35" hidden="false" customHeight="false" outlineLevel="0" collapsed="false">
      <c r="A42" s="4" t="s">
        <v>13</v>
      </c>
      <c r="B42" s="4" t="s">
        <v>143</v>
      </c>
      <c r="C42" s="4" t="s">
        <v>144</v>
      </c>
      <c r="D42" s="4" t="s">
        <v>145</v>
      </c>
      <c r="E42" s="4" t="s">
        <v>25</v>
      </c>
      <c r="F42" s="4" t="s">
        <v>74</v>
      </c>
      <c r="G42" s="4" t="s">
        <v>40</v>
      </c>
      <c r="H42" s="8" t="s">
        <v>41</v>
      </c>
      <c r="I42" s="9" t="s">
        <v>42</v>
      </c>
      <c r="J42" s="4" t="s">
        <v>20</v>
      </c>
      <c r="K42" s="4"/>
    </row>
    <row r="43" customFormat="false" ht="22.35" hidden="false" customHeight="false" outlineLevel="0" collapsed="false">
      <c r="A43" s="4" t="s">
        <v>13</v>
      </c>
      <c r="B43" s="4" t="s">
        <v>146</v>
      </c>
      <c r="C43" s="4" t="s">
        <v>147</v>
      </c>
      <c r="D43" s="4" t="s">
        <v>148</v>
      </c>
      <c r="E43" s="4" t="s">
        <v>15</v>
      </c>
      <c r="F43" s="4" t="s">
        <v>148</v>
      </c>
      <c r="G43" s="4" t="s">
        <v>26</v>
      </c>
      <c r="H43" s="6" t="s">
        <v>27</v>
      </c>
      <c r="I43" s="7" t="s">
        <v>28</v>
      </c>
      <c r="J43" s="4" t="s">
        <v>20</v>
      </c>
      <c r="K43" s="4"/>
    </row>
    <row r="44" customFormat="false" ht="22.35" hidden="false" customHeight="false" outlineLevel="0" collapsed="false">
      <c r="A44" s="4" t="s">
        <v>13</v>
      </c>
      <c r="B44" s="4" t="s">
        <v>149</v>
      </c>
      <c r="C44" s="4" t="s">
        <v>150</v>
      </c>
      <c r="D44" s="4" t="s">
        <v>120</v>
      </c>
      <c r="E44" s="4" t="s">
        <v>15</v>
      </c>
      <c r="F44" s="4" t="s">
        <v>74</v>
      </c>
      <c r="G44" s="4" t="s">
        <v>40</v>
      </c>
      <c r="H44" s="8" t="s">
        <v>41</v>
      </c>
      <c r="I44" s="9" t="s">
        <v>42</v>
      </c>
      <c r="J44" s="4" t="s">
        <v>20</v>
      </c>
      <c r="K44" s="4"/>
    </row>
    <row r="45" customFormat="false" ht="22.35" hidden="false" customHeight="false" outlineLevel="0" collapsed="false">
      <c r="A45" s="4" t="s">
        <v>13</v>
      </c>
      <c r="B45" s="4" t="s">
        <v>151</v>
      </c>
      <c r="C45" s="4" t="s">
        <v>152</v>
      </c>
      <c r="D45" s="4" t="s">
        <v>16</v>
      </c>
      <c r="E45" s="4" t="s">
        <v>153</v>
      </c>
      <c r="F45" s="4" t="s">
        <v>105</v>
      </c>
      <c r="G45" s="4" t="s">
        <v>55</v>
      </c>
      <c r="H45" s="8" t="s">
        <v>41</v>
      </c>
      <c r="I45" s="9" t="s">
        <v>42</v>
      </c>
      <c r="J45" s="4" t="s">
        <v>20</v>
      </c>
      <c r="K45" s="4" t="s">
        <v>154</v>
      </c>
    </row>
    <row r="46" customFormat="false" ht="22.35" hidden="false" customHeight="false" outlineLevel="0" collapsed="false">
      <c r="A46" s="4" t="s">
        <v>13</v>
      </c>
      <c r="B46" s="4" t="s">
        <v>155</v>
      </c>
      <c r="C46" s="4" t="s">
        <v>156</v>
      </c>
      <c r="D46" s="4" t="s">
        <v>157</v>
      </c>
      <c r="E46" s="4" t="s">
        <v>25</v>
      </c>
      <c r="F46" s="4" t="s">
        <v>158</v>
      </c>
      <c r="G46" s="4" t="s">
        <v>26</v>
      </c>
      <c r="H46" s="6" t="s">
        <v>27</v>
      </c>
      <c r="I46" s="9" t="s">
        <v>42</v>
      </c>
      <c r="J46" s="4" t="s">
        <v>20</v>
      </c>
      <c r="K46" s="4" t="s">
        <v>92</v>
      </c>
    </row>
    <row r="47" customFormat="false" ht="22.35" hidden="false" customHeight="false" outlineLevel="0" collapsed="false">
      <c r="A47" s="4" t="s">
        <v>13</v>
      </c>
      <c r="B47" s="4" t="s">
        <v>159</v>
      </c>
      <c r="C47" s="4" t="s">
        <v>160</v>
      </c>
      <c r="D47" s="4" t="s">
        <v>161</v>
      </c>
      <c r="E47" s="4" t="s">
        <v>25</v>
      </c>
      <c r="F47" s="4" t="s">
        <v>161</v>
      </c>
      <c r="G47" s="4" t="s">
        <v>55</v>
      </c>
      <c r="H47" s="8" t="s">
        <v>41</v>
      </c>
      <c r="I47" s="10" t="s">
        <v>49</v>
      </c>
      <c r="J47" s="4" t="s">
        <v>20</v>
      </c>
      <c r="K47" s="4"/>
    </row>
    <row r="48" customFormat="false" ht="22.35" hidden="false" customHeight="false" outlineLevel="0" collapsed="false">
      <c r="A48" s="4" t="s">
        <v>13</v>
      </c>
      <c r="B48" s="4" t="s">
        <v>162</v>
      </c>
      <c r="C48" s="4" t="s">
        <v>163</v>
      </c>
      <c r="D48" s="4" t="s">
        <v>164</v>
      </c>
      <c r="E48" s="4" t="s">
        <v>163</v>
      </c>
      <c r="F48" s="4" t="s">
        <v>131</v>
      </c>
      <c r="G48" s="4" t="s">
        <v>26</v>
      </c>
      <c r="H48" s="6" t="s">
        <v>27</v>
      </c>
      <c r="I48" s="7" t="s">
        <v>28</v>
      </c>
      <c r="J48" s="4" t="s">
        <v>20</v>
      </c>
      <c r="K48" s="4"/>
    </row>
    <row r="49" customFormat="false" ht="22.35" hidden="false" customHeight="false" outlineLevel="0" collapsed="false">
      <c r="A49" s="4" t="s">
        <v>13</v>
      </c>
      <c r="B49" s="4" t="s">
        <v>165</v>
      </c>
      <c r="C49" s="4" t="s">
        <v>25</v>
      </c>
      <c r="D49" s="4" t="s">
        <v>166</v>
      </c>
      <c r="E49" s="4" t="s">
        <v>167</v>
      </c>
      <c r="F49" s="4" t="s">
        <v>33</v>
      </c>
      <c r="G49" s="4" t="s">
        <v>26</v>
      </c>
      <c r="H49" s="6" t="s">
        <v>27</v>
      </c>
      <c r="I49" s="9" t="s">
        <v>42</v>
      </c>
      <c r="J49" s="4" t="s">
        <v>20</v>
      </c>
      <c r="K49" s="4" t="s">
        <v>92</v>
      </c>
    </row>
    <row r="50" customFormat="false" ht="22.35" hidden="false" customHeight="false" outlineLevel="0" collapsed="false">
      <c r="A50" s="4" t="s">
        <v>13</v>
      </c>
      <c r="B50" s="4" t="s">
        <v>168</v>
      </c>
      <c r="C50" s="4" t="s">
        <v>141</v>
      </c>
      <c r="D50" s="4" t="s">
        <v>67</v>
      </c>
      <c r="E50" s="4" t="s">
        <v>141</v>
      </c>
      <c r="F50" s="4" t="s">
        <v>67</v>
      </c>
      <c r="G50" s="4" t="s">
        <v>26</v>
      </c>
      <c r="H50" s="6" t="s">
        <v>27</v>
      </c>
      <c r="I50" s="7" t="s">
        <v>28</v>
      </c>
      <c r="J50" s="4" t="s">
        <v>20</v>
      </c>
      <c r="K50" s="4"/>
    </row>
    <row r="51" customFormat="false" ht="22.35" hidden="false" customHeight="false" outlineLevel="0" collapsed="false">
      <c r="A51" s="4" t="s">
        <v>13</v>
      </c>
      <c r="B51" s="4" t="s">
        <v>169</v>
      </c>
      <c r="C51" s="4" t="s">
        <v>170</v>
      </c>
      <c r="D51" s="4" t="s">
        <v>157</v>
      </c>
      <c r="E51" s="4" t="s">
        <v>99</v>
      </c>
      <c r="F51" s="4" t="s">
        <v>16</v>
      </c>
      <c r="G51" s="4" t="s">
        <v>68</v>
      </c>
      <c r="H51" s="6" t="s">
        <v>27</v>
      </c>
      <c r="I51" s="11" t="s">
        <v>70</v>
      </c>
      <c r="J51" s="4" t="s">
        <v>20</v>
      </c>
      <c r="K51" s="4"/>
    </row>
    <row r="52" customFormat="false" ht="22.35" hidden="false" customHeight="false" outlineLevel="0" collapsed="false">
      <c r="A52" s="4" t="s">
        <v>13</v>
      </c>
      <c r="B52" s="4" t="s">
        <v>171</v>
      </c>
      <c r="C52" s="4" t="s">
        <v>172</v>
      </c>
      <c r="D52" s="4" t="s">
        <v>138</v>
      </c>
      <c r="E52" s="4" t="s">
        <v>173</v>
      </c>
      <c r="F52" s="4" t="s">
        <v>110</v>
      </c>
      <c r="G52" s="4" t="s">
        <v>55</v>
      </c>
      <c r="H52" s="8" t="s">
        <v>41</v>
      </c>
      <c r="I52" s="10" t="s">
        <v>49</v>
      </c>
      <c r="J52" s="4" t="s">
        <v>20</v>
      </c>
      <c r="K52" s="4"/>
    </row>
    <row r="53" customFormat="false" ht="22.35" hidden="false" customHeight="false" outlineLevel="0" collapsed="false">
      <c r="A53" s="4" t="s">
        <v>13</v>
      </c>
      <c r="B53" s="4" t="s">
        <v>174</v>
      </c>
      <c r="C53" s="4" t="s">
        <v>15</v>
      </c>
      <c r="D53" s="4" t="s">
        <v>98</v>
      </c>
      <c r="E53" s="4" t="s">
        <v>15</v>
      </c>
      <c r="F53" s="4" t="s">
        <v>131</v>
      </c>
      <c r="G53" s="4" t="s">
        <v>26</v>
      </c>
      <c r="H53" s="6" t="s">
        <v>27</v>
      </c>
      <c r="I53" s="7" t="s">
        <v>28</v>
      </c>
      <c r="J53" s="4" t="s">
        <v>20</v>
      </c>
      <c r="K53" s="4"/>
    </row>
    <row r="54" customFormat="false" ht="22.35" hidden="false" customHeight="false" outlineLevel="0" collapsed="false">
      <c r="A54" s="4" t="s">
        <v>13</v>
      </c>
      <c r="B54" s="4" t="s">
        <v>175</v>
      </c>
      <c r="C54" s="4" t="s">
        <v>176</v>
      </c>
      <c r="D54" s="4" t="s">
        <v>157</v>
      </c>
      <c r="E54" s="4" t="s">
        <v>176</v>
      </c>
      <c r="F54" s="4" t="s">
        <v>157</v>
      </c>
      <c r="G54" s="4" t="s">
        <v>26</v>
      </c>
      <c r="H54" s="6" t="s">
        <v>27</v>
      </c>
      <c r="I54" s="7" t="s">
        <v>28</v>
      </c>
      <c r="J54" s="4" t="s">
        <v>20</v>
      </c>
      <c r="K54" s="4"/>
    </row>
    <row r="55" customFormat="false" ht="22.35" hidden="false" customHeight="false" outlineLevel="0" collapsed="false">
      <c r="A55" s="4" t="s">
        <v>13</v>
      </c>
      <c r="B55" s="4" t="s">
        <v>177</v>
      </c>
      <c r="C55" s="4" t="s">
        <v>178</v>
      </c>
      <c r="D55" s="4" t="s">
        <v>164</v>
      </c>
      <c r="E55" s="4" t="s">
        <v>179</v>
      </c>
      <c r="F55" s="4" t="s">
        <v>131</v>
      </c>
      <c r="G55" s="4" t="s">
        <v>68</v>
      </c>
      <c r="H55" s="6" t="s">
        <v>27</v>
      </c>
      <c r="I55" s="11" t="s">
        <v>70</v>
      </c>
      <c r="J55" s="4" t="s">
        <v>20</v>
      </c>
      <c r="K55" s="4"/>
    </row>
    <row r="56" customFormat="false" ht="22.35" hidden="false" customHeight="false" outlineLevel="0" collapsed="false">
      <c r="A56" s="4" t="s">
        <v>13</v>
      </c>
      <c r="B56" s="4" t="s">
        <v>180</v>
      </c>
      <c r="C56" s="4" t="s">
        <v>181</v>
      </c>
      <c r="D56" s="4" t="s">
        <v>105</v>
      </c>
      <c r="E56" s="4" t="s">
        <v>25</v>
      </c>
      <c r="F56" s="4" t="s">
        <v>105</v>
      </c>
      <c r="G56" s="4" t="s">
        <v>55</v>
      </c>
      <c r="H56" s="8" t="s">
        <v>41</v>
      </c>
      <c r="I56" s="10" t="s">
        <v>49</v>
      </c>
      <c r="J56" s="4" t="s">
        <v>20</v>
      </c>
      <c r="K56" s="4"/>
    </row>
    <row r="57" customFormat="false" ht="22.35" hidden="false" customHeight="false" outlineLevel="0" collapsed="false">
      <c r="A57" s="4" t="s">
        <v>13</v>
      </c>
      <c r="B57" s="4" t="s">
        <v>182</v>
      </c>
      <c r="C57" s="4" t="s">
        <v>183</v>
      </c>
      <c r="D57" s="4" t="s">
        <v>157</v>
      </c>
      <c r="E57" s="4" t="s">
        <v>25</v>
      </c>
      <c r="F57" s="4" t="s">
        <v>33</v>
      </c>
      <c r="G57" s="4" t="s">
        <v>184</v>
      </c>
      <c r="H57" s="6" t="s">
        <v>27</v>
      </c>
      <c r="I57" s="9" t="s">
        <v>42</v>
      </c>
      <c r="J57" s="4" t="s">
        <v>20</v>
      </c>
      <c r="K57" s="4" t="s">
        <v>92</v>
      </c>
    </row>
    <row r="58" customFormat="false" ht="22.35" hidden="false" customHeight="false" outlineLevel="0" collapsed="false">
      <c r="A58" s="4" t="s">
        <v>185</v>
      </c>
      <c r="B58" s="4" t="s">
        <v>186</v>
      </c>
      <c r="C58" s="4" t="s">
        <v>187</v>
      </c>
      <c r="D58" s="4" t="s">
        <v>157</v>
      </c>
      <c r="E58" s="4" t="s">
        <v>16</v>
      </c>
      <c r="F58" s="4" t="s">
        <v>16</v>
      </c>
      <c r="G58" s="4" t="s">
        <v>65</v>
      </c>
      <c r="H58" s="6" t="s">
        <v>27</v>
      </c>
      <c r="I58" s="7" t="s">
        <v>28</v>
      </c>
      <c r="J58" s="4" t="s">
        <v>20</v>
      </c>
      <c r="K58" s="4"/>
    </row>
    <row r="59" customFormat="false" ht="22.35" hidden="false" customHeight="false" outlineLevel="0" collapsed="false">
      <c r="A59" s="4" t="s">
        <v>185</v>
      </c>
      <c r="B59" s="4" t="s">
        <v>188</v>
      </c>
      <c r="C59" s="4" t="s">
        <v>25</v>
      </c>
      <c r="D59" s="4" t="s">
        <v>189</v>
      </c>
      <c r="E59" s="4" t="s">
        <v>190</v>
      </c>
      <c r="F59" s="4" t="s">
        <v>16</v>
      </c>
      <c r="G59" s="4" t="s">
        <v>191</v>
      </c>
      <c r="H59" s="4" t="s">
        <v>69</v>
      </c>
      <c r="I59" s="11" t="s">
        <v>70</v>
      </c>
      <c r="J59" s="4" t="s">
        <v>20</v>
      </c>
      <c r="K59" s="4"/>
    </row>
    <row r="60" customFormat="false" ht="22.35" hidden="false" customHeight="false" outlineLevel="0" collapsed="false">
      <c r="A60" s="4" t="s">
        <v>185</v>
      </c>
      <c r="B60" s="4" t="s">
        <v>192</v>
      </c>
      <c r="C60" s="4" t="s">
        <v>114</v>
      </c>
      <c r="D60" s="4" t="s">
        <v>120</v>
      </c>
      <c r="E60" s="4" t="s">
        <v>190</v>
      </c>
      <c r="F60" s="4" t="s">
        <v>161</v>
      </c>
      <c r="G60" s="4" t="s">
        <v>193</v>
      </c>
      <c r="H60" s="8" t="s">
        <v>41</v>
      </c>
      <c r="I60" s="9" t="s">
        <v>42</v>
      </c>
      <c r="J60" s="4" t="s">
        <v>20</v>
      </c>
      <c r="K60" s="4"/>
    </row>
    <row r="61" customFormat="false" ht="22.35" hidden="false" customHeight="false" outlineLevel="0" collapsed="false">
      <c r="A61" s="4" t="s">
        <v>185</v>
      </c>
      <c r="B61" s="4" t="s">
        <v>194</v>
      </c>
      <c r="C61" s="4" t="s">
        <v>25</v>
      </c>
      <c r="D61" s="4" t="s">
        <v>120</v>
      </c>
      <c r="E61" s="4" t="s">
        <v>190</v>
      </c>
      <c r="F61" s="4" t="s">
        <v>120</v>
      </c>
      <c r="G61" s="4" t="s">
        <v>65</v>
      </c>
      <c r="H61" s="6" t="s">
        <v>27</v>
      </c>
      <c r="I61" s="7" t="s">
        <v>28</v>
      </c>
      <c r="J61" s="4" t="s">
        <v>20</v>
      </c>
      <c r="K61" s="4"/>
    </row>
    <row r="62" customFormat="false" ht="22.35" hidden="false" customHeight="false" outlineLevel="0" collapsed="false">
      <c r="A62" s="4" t="s">
        <v>185</v>
      </c>
      <c r="B62" s="4" t="s">
        <v>195</v>
      </c>
      <c r="C62" s="4" t="s">
        <v>196</v>
      </c>
      <c r="D62" s="4" t="s">
        <v>24</v>
      </c>
      <c r="E62" s="4" t="s">
        <v>197</v>
      </c>
      <c r="F62" s="4" t="s">
        <v>24</v>
      </c>
      <c r="G62" s="4" t="s">
        <v>198</v>
      </c>
      <c r="H62" s="6" t="s">
        <v>27</v>
      </c>
      <c r="I62" s="7" t="s">
        <v>28</v>
      </c>
      <c r="J62" s="4" t="s">
        <v>20</v>
      </c>
      <c r="K62" s="4"/>
    </row>
    <row r="63" customFormat="false" ht="22.35" hidden="false" customHeight="false" outlineLevel="0" collapsed="false">
      <c r="A63" s="4" t="s">
        <v>185</v>
      </c>
      <c r="B63" s="4" t="s">
        <v>199</v>
      </c>
      <c r="C63" s="4" t="s">
        <v>200</v>
      </c>
      <c r="D63" s="4" t="s">
        <v>16</v>
      </c>
      <c r="E63" s="4" t="s">
        <v>16</v>
      </c>
      <c r="F63" s="4" t="s">
        <v>16</v>
      </c>
      <c r="G63" s="4" t="s">
        <v>201</v>
      </c>
      <c r="H63" s="6" t="s">
        <v>27</v>
      </c>
      <c r="I63" s="13" t="s">
        <v>200</v>
      </c>
      <c r="J63" s="4" t="s">
        <v>20</v>
      </c>
      <c r="K63" s="4"/>
    </row>
    <row r="64" customFormat="false" ht="22.35" hidden="false" customHeight="false" outlineLevel="0" collapsed="false">
      <c r="A64" s="4" t="s">
        <v>185</v>
      </c>
      <c r="B64" s="4" t="s">
        <v>202</v>
      </c>
      <c r="C64" s="4" t="s">
        <v>203</v>
      </c>
      <c r="D64" s="4" t="s">
        <v>204</v>
      </c>
      <c r="E64" s="4" t="s">
        <v>16</v>
      </c>
      <c r="F64" s="4" t="s">
        <v>16</v>
      </c>
      <c r="G64" s="4" t="s">
        <v>205</v>
      </c>
      <c r="H64" s="6" t="s">
        <v>27</v>
      </c>
      <c r="I64" s="7" t="s">
        <v>28</v>
      </c>
      <c r="J64" s="4" t="s">
        <v>206</v>
      </c>
      <c r="K64" s="4" t="s">
        <v>207</v>
      </c>
    </row>
    <row r="65" customFormat="false" ht="15" hidden="false" customHeight="false" outlineLevel="0" collapsed="false">
      <c r="A65" s="4" t="s">
        <v>185</v>
      </c>
      <c r="B65" s="4" t="s">
        <v>208</v>
      </c>
      <c r="C65" s="4" t="s">
        <v>209</v>
      </c>
      <c r="D65" s="4" t="s">
        <v>103</v>
      </c>
      <c r="E65" s="4" t="s">
        <v>16</v>
      </c>
      <c r="F65" s="4" t="s">
        <v>16</v>
      </c>
      <c r="G65" s="4" t="s">
        <v>210</v>
      </c>
      <c r="H65" s="6" t="s">
        <v>27</v>
      </c>
      <c r="I65" s="7" t="s">
        <v>28</v>
      </c>
      <c r="J65" s="4" t="s">
        <v>206</v>
      </c>
      <c r="K65" s="4" t="s">
        <v>211</v>
      </c>
    </row>
    <row r="66" customFormat="false" ht="22.35" hidden="false" customHeight="false" outlineLevel="0" collapsed="false">
      <c r="A66" s="4" t="s">
        <v>185</v>
      </c>
      <c r="B66" s="4" t="s">
        <v>212</v>
      </c>
      <c r="C66" s="4" t="s">
        <v>82</v>
      </c>
      <c r="D66" s="4" t="s">
        <v>81</v>
      </c>
      <c r="E66" s="4" t="s">
        <v>16</v>
      </c>
      <c r="F66" s="4" t="s">
        <v>16</v>
      </c>
      <c r="G66" s="4" t="s">
        <v>213</v>
      </c>
      <c r="H66" s="6" t="s">
        <v>27</v>
      </c>
      <c r="I66" s="7" t="s">
        <v>28</v>
      </c>
      <c r="J66" s="4" t="s">
        <v>206</v>
      </c>
      <c r="K66" s="4" t="s">
        <v>214</v>
      </c>
    </row>
    <row r="67" customFormat="false" ht="22.35" hidden="false" customHeight="false" outlineLevel="0" collapsed="false">
      <c r="A67" s="4" t="s">
        <v>185</v>
      </c>
      <c r="B67" s="4" t="s">
        <v>215</v>
      </c>
      <c r="C67" s="4" t="s">
        <v>141</v>
      </c>
      <c r="D67" s="4" t="s">
        <v>73</v>
      </c>
      <c r="E67" s="4" t="s">
        <v>190</v>
      </c>
      <c r="F67" s="4" t="s">
        <v>73</v>
      </c>
      <c r="G67" s="4" t="s">
        <v>68</v>
      </c>
      <c r="H67" s="6" t="s">
        <v>27</v>
      </c>
      <c r="I67" s="11" t="s">
        <v>70</v>
      </c>
      <c r="J67" s="4" t="s">
        <v>20</v>
      </c>
      <c r="K67" s="4"/>
    </row>
    <row r="68" customFormat="false" ht="22.35" hidden="false" customHeight="false" outlineLevel="0" collapsed="false">
      <c r="A68" s="4" t="s">
        <v>185</v>
      </c>
      <c r="B68" s="4" t="s">
        <v>216</v>
      </c>
      <c r="C68" s="4" t="s">
        <v>200</v>
      </c>
      <c r="D68" s="4" t="s">
        <v>16</v>
      </c>
      <c r="E68" s="4" t="s">
        <v>25</v>
      </c>
      <c r="F68" s="4" t="s">
        <v>161</v>
      </c>
      <c r="G68" s="4" t="s">
        <v>184</v>
      </c>
      <c r="H68" s="8" t="s">
        <v>41</v>
      </c>
      <c r="I68" s="9" t="s">
        <v>42</v>
      </c>
      <c r="J68" s="4" t="s">
        <v>20</v>
      </c>
      <c r="K68" s="4"/>
    </row>
    <row r="69" customFormat="false" ht="15" hidden="false" customHeight="false" outlineLevel="0" collapsed="false">
      <c r="A69" s="4" t="s">
        <v>185</v>
      </c>
      <c r="B69" s="4" t="s">
        <v>217</v>
      </c>
      <c r="C69" s="4" t="s">
        <v>200</v>
      </c>
      <c r="D69" s="4" t="s">
        <v>16</v>
      </c>
      <c r="E69" s="4" t="s">
        <v>16</v>
      </c>
      <c r="F69" s="4" t="s">
        <v>16</v>
      </c>
      <c r="G69" s="4" t="s">
        <v>200</v>
      </c>
      <c r="H69" s="6" t="s">
        <v>27</v>
      </c>
      <c r="I69" s="13" t="s">
        <v>200</v>
      </c>
      <c r="J69" s="4" t="s">
        <v>206</v>
      </c>
      <c r="K69" s="4" t="s">
        <v>218</v>
      </c>
    </row>
    <row r="70" customFormat="false" ht="22.35" hidden="false" customHeight="false" outlineLevel="0" collapsed="false">
      <c r="A70" s="4" t="s">
        <v>185</v>
      </c>
      <c r="B70" s="4" t="s">
        <v>219</v>
      </c>
      <c r="C70" s="4" t="s">
        <v>220</v>
      </c>
      <c r="D70" s="4" t="s">
        <v>47</v>
      </c>
      <c r="E70" s="4" t="s">
        <v>220</v>
      </c>
      <c r="F70" s="4" t="s">
        <v>47</v>
      </c>
      <c r="G70" s="4" t="s">
        <v>221</v>
      </c>
      <c r="H70" s="8" t="s">
        <v>41</v>
      </c>
      <c r="I70" s="10" t="s">
        <v>49</v>
      </c>
      <c r="J70" s="4" t="s">
        <v>20</v>
      </c>
      <c r="K70" s="4"/>
    </row>
    <row r="71" customFormat="false" ht="22.35" hidden="false" customHeight="false" outlineLevel="0" collapsed="false">
      <c r="A71" s="4" t="s">
        <v>185</v>
      </c>
      <c r="B71" s="4" t="s">
        <v>222</v>
      </c>
      <c r="C71" s="4" t="s">
        <v>223</v>
      </c>
      <c r="D71" s="4" t="s">
        <v>224</v>
      </c>
      <c r="E71" s="4" t="s">
        <v>225</v>
      </c>
      <c r="F71" s="4" t="s">
        <v>224</v>
      </c>
      <c r="G71" s="4" t="s">
        <v>198</v>
      </c>
      <c r="H71" s="6" t="s">
        <v>27</v>
      </c>
      <c r="I71" s="7" t="s">
        <v>28</v>
      </c>
      <c r="J71" s="4" t="s">
        <v>20</v>
      </c>
      <c r="K71" s="4"/>
    </row>
    <row r="72" customFormat="false" ht="22.35" hidden="false" customHeight="false" outlineLevel="0" collapsed="false">
      <c r="A72" s="4" t="s">
        <v>185</v>
      </c>
      <c r="B72" s="4" t="s">
        <v>226</v>
      </c>
      <c r="C72" s="4" t="s">
        <v>25</v>
      </c>
      <c r="D72" s="4" t="s">
        <v>54</v>
      </c>
      <c r="E72" s="4" t="s">
        <v>190</v>
      </c>
      <c r="F72" s="4" t="s">
        <v>54</v>
      </c>
      <c r="G72" s="4" t="s">
        <v>227</v>
      </c>
      <c r="H72" s="8" t="s">
        <v>41</v>
      </c>
      <c r="I72" s="10" t="s">
        <v>49</v>
      </c>
      <c r="J72" s="4" t="s">
        <v>20</v>
      </c>
      <c r="K72" s="4"/>
    </row>
    <row r="73" customFormat="false" ht="22.35" hidden="false" customHeight="false" outlineLevel="0" collapsed="false">
      <c r="A73" s="4" t="s">
        <v>185</v>
      </c>
      <c r="B73" s="4" t="s">
        <v>228</v>
      </c>
      <c r="C73" s="4" t="s">
        <v>200</v>
      </c>
      <c r="D73" s="4" t="s">
        <v>16</v>
      </c>
      <c r="E73" s="4" t="s">
        <v>16</v>
      </c>
      <c r="F73" s="4" t="s">
        <v>16</v>
      </c>
      <c r="G73" s="4" t="s">
        <v>200</v>
      </c>
      <c r="H73" s="6" t="s">
        <v>27</v>
      </c>
      <c r="I73" s="13" t="s">
        <v>200</v>
      </c>
      <c r="J73" s="4" t="s">
        <v>20</v>
      </c>
      <c r="K73" s="4"/>
    </row>
    <row r="74" customFormat="false" ht="22.35" hidden="false" customHeight="false" outlineLevel="0" collapsed="false">
      <c r="A74" s="4" t="s">
        <v>185</v>
      </c>
      <c r="B74" s="4" t="s">
        <v>229</v>
      </c>
      <c r="C74" s="4" t="s">
        <v>200</v>
      </c>
      <c r="D74" s="4" t="s">
        <v>16</v>
      </c>
      <c r="E74" s="4" t="s">
        <v>16</v>
      </c>
      <c r="F74" s="4" t="s">
        <v>16</v>
      </c>
      <c r="G74" s="4" t="s">
        <v>200</v>
      </c>
      <c r="H74" s="6" t="s">
        <v>27</v>
      </c>
      <c r="I74" s="13" t="s">
        <v>200</v>
      </c>
      <c r="J74" s="4" t="s">
        <v>20</v>
      </c>
      <c r="K74" s="4"/>
    </row>
    <row r="75" customFormat="false" ht="15" hidden="false" customHeight="false" outlineLevel="0" collapsed="false">
      <c r="A75" s="4" t="s">
        <v>185</v>
      </c>
      <c r="B75" s="4" t="s">
        <v>230</v>
      </c>
      <c r="C75" s="4" t="s">
        <v>231</v>
      </c>
      <c r="D75" s="4" t="s">
        <v>33</v>
      </c>
      <c r="E75" s="4" t="s">
        <v>231</v>
      </c>
      <c r="F75" s="4" t="s">
        <v>33</v>
      </c>
      <c r="G75" s="4" t="s">
        <v>232</v>
      </c>
      <c r="H75" s="6" t="s">
        <v>27</v>
      </c>
      <c r="I75" s="7" t="s">
        <v>28</v>
      </c>
      <c r="J75" s="4" t="s">
        <v>206</v>
      </c>
      <c r="K75" s="4" t="s">
        <v>211</v>
      </c>
    </row>
    <row r="76" customFormat="false" ht="22.35" hidden="false" customHeight="false" outlineLevel="0" collapsed="false">
      <c r="A76" s="4" t="s">
        <v>185</v>
      </c>
      <c r="B76" s="4" t="s">
        <v>233</v>
      </c>
      <c r="C76" s="4" t="s">
        <v>234</v>
      </c>
      <c r="D76" s="4" t="s">
        <v>235</v>
      </c>
      <c r="E76" s="4" t="s">
        <v>190</v>
      </c>
      <c r="F76" s="4" t="s">
        <v>235</v>
      </c>
      <c r="G76" s="4" t="s">
        <v>65</v>
      </c>
      <c r="H76" s="6" t="s">
        <v>27</v>
      </c>
      <c r="I76" s="7" t="s">
        <v>28</v>
      </c>
      <c r="J76" s="4" t="s">
        <v>20</v>
      </c>
      <c r="K76" s="4"/>
    </row>
    <row r="77" customFormat="false" ht="22.35" hidden="false" customHeight="false" outlineLevel="0" collapsed="false">
      <c r="A77" s="4" t="s">
        <v>185</v>
      </c>
      <c r="B77" s="4" t="s">
        <v>236</v>
      </c>
      <c r="C77" s="4" t="s">
        <v>237</v>
      </c>
      <c r="D77" s="4" t="s">
        <v>16</v>
      </c>
      <c r="E77" s="4" t="s">
        <v>16</v>
      </c>
      <c r="F77" s="4" t="s">
        <v>16</v>
      </c>
      <c r="G77" s="4" t="s">
        <v>238</v>
      </c>
      <c r="H77" s="6" t="s">
        <v>27</v>
      </c>
      <c r="I77" s="13" t="s">
        <v>200</v>
      </c>
      <c r="J77" s="4" t="s">
        <v>239</v>
      </c>
      <c r="K77" s="4" t="s">
        <v>240</v>
      </c>
    </row>
    <row r="78" customFormat="false" ht="22.35" hidden="false" customHeight="false" outlineLevel="0" collapsed="false">
      <c r="A78" s="4" t="s">
        <v>185</v>
      </c>
      <c r="B78" s="4" t="s">
        <v>241</v>
      </c>
      <c r="C78" s="4" t="s">
        <v>183</v>
      </c>
      <c r="D78" s="4" t="s">
        <v>235</v>
      </c>
      <c r="E78" s="4" t="s">
        <v>183</v>
      </c>
      <c r="F78" s="4" t="s">
        <v>73</v>
      </c>
      <c r="G78" s="4" t="s">
        <v>65</v>
      </c>
      <c r="H78" s="6" t="s">
        <v>27</v>
      </c>
      <c r="I78" s="7" t="s">
        <v>28</v>
      </c>
      <c r="J78" s="4" t="s">
        <v>20</v>
      </c>
      <c r="K78" s="4"/>
    </row>
    <row r="79" customFormat="false" ht="22.35" hidden="false" customHeight="false" outlineLevel="0" collapsed="false">
      <c r="A79" s="4" t="s">
        <v>185</v>
      </c>
      <c r="B79" s="4" t="s">
        <v>242</v>
      </c>
      <c r="C79" s="4" t="s">
        <v>25</v>
      </c>
      <c r="D79" s="4" t="s">
        <v>54</v>
      </c>
      <c r="E79" s="4" t="s">
        <v>190</v>
      </c>
      <c r="F79" s="4" t="s">
        <v>54</v>
      </c>
      <c r="G79" s="4" t="s">
        <v>193</v>
      </c>
      <c r="H79" s="8" t="s">
        <v>41</v>
      </c>
      <c r="I79" s="10" t="s">
        <v>49</v>
      </c>
      <c r="J79" s="4" t="s">
        <v>20</v>
      </c>
      <c r="K79" s="4"/>
    </row>
    <row r="80" customFormat="false" ht="22.35" hidden="false" customHeight="false" outlineLevel="0" collapsed="false">
      <c r="A80" s="4" t="s">
        <v>185</v>
      </c>
      <c r="B80" s="4" t="s">
        <v>243</v>
      </c>
      <c r="C80" s="4" t="s">
        <v>200</v>
      </c>
      <c r="D80" s="4" t="s">
        <v>16</v>
      </c>
      <c r="E80" s="4" t="s">
        <v>16</v>
      </c>
      <c r="F80" s="4" t="s">
        <v>16</v>
      </c>
      <c r="G80" s="4" t="s">
        <v>244</v>
      </c>
      <c r="H80" s="6" t="s">
        <v>27</v>
      </c>
      <c r="I80" s="13" t="s">
        <v>200</v>
      </c>
      <c r="J80" s="4" t="s">
        <v>239</v>
      </c>
      <c r="K80" s="4" t="s">
        <v>245</v>
      </c>
    </row>
    <row r="81" customFormat="false" ht="22.35" hidden="false" customHeight="false" outlineLevel="0" collapsed="false">
      <c r="A81" s="4" t="s">
        <v>185</v>
      </c>
      <c r="B81" s="4" t="s">
        <v>246</v>
      </c>
      <c r="C81" s="4" t="s">
        <v>247</v>
      </c>
      <c r="D81" s="4" t="s">
        <v>47</v>
      </c>
      <c r="E81" s="4" t="s">
        <v>248</v>
      </c>
      <c r="F81" s="4" t="s">
        <v>73</v>
      </c>
      <c r="G81" s="4" t="s">
        <v>184</v>
      </c>
      <c r="H81" s="8" t="s">
        <v>41</v>
      </c>
      <c r="I81" s="12" t="s">
        <v>127</v>
      </c>
      <c r="J81" s="4" t="s">
        <v>20</v>
      </c>
      <c r="K81" s="4" t="s">
        <v>249</v>
      </c>
    </row>
    <row r="82" customFormat="false" ht="22.35" hidden="false" customHeight="false" outlineLevel="0" collapsed="false">
      <c r="A82" s="4" t="s">
        <v>185</v>
      </c>
      <c r="B82" s="4" t="s">
        <v>250</v>
      </c>
      <c r="C82" s="4" t="s">
        <v>251</v>
      </c>
      <c r="D82" s="4" t="s">
        <v>252</v>
      </c>
      <c r="E82" s="4" t="s">
        <v>251</v>
      </c>
      <c r="F82" s="4" t="s">
        <v>252</v>
      </c>
      <c r="G82" s="4" t="s">
        <v>184</v>
      </c>
      <c r="H82" s="8" t="s">
        <v>41</v>
      </c>
      <c r="I82" s="10" t="s">
        <v>49</v>
      </c>
      <c r="J82" s="4" t="s">
        <v>20</v>
      </c>
      <c r="K82" s="4"/>
    </row>
    <row r="83" customFormat="false" ht="22.35" hidden="false" customHeight="false" outlineLevel="0" collapsed="false">
      <c r="A83" s="4" t="s">
        <v>185</v>
      </c>
      <c r="B83" s="4" t="s">
        <v>253</v>
      </c>
      <c r="C83" s="4" t="s">
        <v>254</v>
      </c>
      <c r="D83" s="4" t="s">
        <v>255</v>
      </c>
      <c r="E83" s="4" t="s">
        <v>254</v>
      </c>
      <c r="F83" s="4" t="s">
        <v>255</v>
      </c>
      <c r="G83" s="4" t="s">
        <v>184</v>
      </c>
      <c r="H83" s="8" t="s">
        <v>41</v>
      </c>
      <c r="I83" s="10" t="s">
        <v>49</v>
      </c>
      <c r="J83" s="4" t="s">
        <v>206</v>
      </c>
      <c r="K83" s="4" t="s">
        <v>256</v>
      </c>
    </row>
    <row r="84" customFormat="false" ht="22.35" hidden="false" customHeight="false" outlineLevel="0" collapsed="false">
      <c r="A84" s="4" t="s">
        <v>185</v>
      </c>
      <c r="B84" s="4" t="s">
        <v>257</v>
      </c>
      <c r="C84" s="4" t="s">
        <v>258</v>
      </c>
      <c r="D84" s="4" t="s">
        <v>47</v>
      </c>
      <c r="E84" s="4" t="s">
        <v>258</v>
      </c>
      <c r="F84" s="4" t="s">
        <v>47</v>
      </c>
      <c r="G84" s="4" t="s">
        <v>184</v>
      </c>
      <c r="H84" s="8" t="s">
        <v>41</v>
      </c>
      <c r="I84" s="10" t="s">
        <v>49</v>
      </c>
      <c r="J84" s="4" t="s">
        <v>20</v>
      </c>
      <c r="K84" s="4"/>
    </row>
    <row r="85" customFormat="false" ht="22.35" hidden="false" customHeight="false" outlineLevel="0" collapsed="false">
      <c r="A85" s="4" t="s">
        <v>185</v>
      </c>
      <c r="B85" s="4" t="s">
        <v>259</v>
      </c>
      <c r="C85" s="4" t="s">
        <v>25</v>
      </c>
      <c r="D85" s="4" t="s">
        <v>260</v>
      </c>
      <c r="E85" s="4" t="s">
        <v>25</v>
      </c>
      <c r="F85" s="4" t="s">
        <v>260</v>
      </c>
      <c r="G85" s="4" t="s">
        <v>184</v>
      </c>
      <c r="H85" s="8" t="s">
        <v>41</v>
      </c>
      <c r="I85" s="10" t="s">
        <v>49</v>
      </c>
      <c r="J85" s="4" t="s">
        <v>20</v>
      </c>
      <c r="K85" s="4"/>
    </row>
    <row r="86" customFormat="false" ht="22.35" hidden="false" customHeight="false" outlineLevel="0" collapsed="false">
      <c r="A86" s="4" t="s">
        <v>185</v>
      </c>
      <c r="B86" s="4" t="s">
        <v>261</v>
      </c>
      <c r="C86" s="4" t="s">
        <v>200</v>
      </c>
      <c r="D86" s="4" t="s">
        <v>16</v>
      </c>
      <c r="E86" s="4" t="s">
        <v>16</v>
      </c>
      <c r="F86" s="4" t="s">
        <v>16</v>
      </c>
      <c r="G86" s="4" t="s">
        <v>200</v>
      </c>
      <c r="H86" s="6" t="s">
        <v>27</v>
      </c>
      <c r="I86" s="13" t="s">
        <v>200</v>
      </c>
      <c r="J86" s="4" t="s">
        <v>20</v>
      </c>
      <c r="K86" s="4"/>
    </row>
    <row r="87" customFormat="false" ht="22.35" hidden="false" customHeight="false" outlineLevel="0" collapsed="false">
      <c r="A87" s="4" t="s">
        <v>185</v>
      </c>
      <c r="B87" s="4" t="s">
        <v>262</v>
      </c>
      <c r="C87" s="4" t="s">
        <v>263</v>
      </c>
      <c r="D87" s="4" t="s">
        <v>264</v>
      </c>
      <c r="E87" s="4" t="s">
        <v>16</v>
      </c>
      <c r="F87" s="4" t="s">
        <v>16</v>
      </c>
      <c r="G87" s="4" t="s">
        <v>65</v>
      </c>
      <c r="H87" s="6" t="s">
        <v>27</v>
      </c>
      <c r="I87" s="7" t="s">
        <v>28</v>
      </c>
      <c r="J87" s="4" t="s">
        <v>20</v>
      </c>
      <c r="K87" s="4"/>
    </row>
    <row r="88" customFormat="false" ht="22.35" hidden="false" customHeight="false" outlineLevel="0" collapsed="false">
      <c r="A88" s="4" t="s">
        <v>185</v>
      </c>
      <c r="B88" s="4" t="s">
        <v>265</v>
      </c>
      <c r="C88" s="4" t="s">
        <v>266</v>
      </c>
      <c r="D88" s="4" t="s">
        <v>54</v>
      </c>
      <c r="E88" s="4" t="s">
        <v>266</v>
      </c>
      <c r="F88" s="4" t="s">
        <v>54</v>
      </c>
      <c r="G88" s="4" t="s">
        <v>267</v>
      </c>
      <c r="H88" s="8" t="s">
        <v>41</v>
      </c>
      <c r="I88" s="10" t="s">
        <v>49</v>
      </c>
      <c r="J88" s="4" t="s">
        <v>20</v>
      </c>
      <c r="K88" s="4" t="s">
        <v>268</v>
      </c>
    </row>
    <row r="89" customFormat="false" ht="22.35" hidden="false" customHeight="false" outlineLevel="0" collapsed="false">
      <c r="A89" s="4" t="s">
        <v>185</v>
      </c>
      <c r="B89" s="4" t="s">
        <v>269</v>
      </c>
      <c r="C89" s="4" t="s">
        <v>270</v>
      </c>
      <c r="D89" s="4" t="s">
        <v>105</v>
      </c>
      <c r="E89" s="4" t="s">
        <v>270</v>
      </c>
      <c r="F89" s="4" t="s">
        <v>105</v>
      </c>
      <c r="G89" s="4" t="s">
        <v>184</v>
      </c>
      <c r="H89" s="8" t="s">
        <v>41</v>
      </c>
      <c r="I89" s="10" t="s">
        <v>49</v>
      </c>
      <c r="J89" s="4" t="s">
        <v>20</v>
      </c>
      <c r="K89" s="4"/>
    </row>
    <row r="90" customFormat="false" ht="22.35" hidden="false" customHeight="false" outlineLevel="0" collapsed="false">
      <c r="A90" s="4" t="s">
        <v>185</v>
      </c>
      <c r="B90" s="4" t="s">
        <v>271</v>
      </c>
      <c r="C90" s="4" t="s">
        <v>209</v>
      </c>
      <c r="D90" s="4" t="s">
        <v>117</v>
      </c>
      <c r="E90" s="4" t="s">
        <v>209</v>
      </c>
      <c r="F90" s="4" t="s">
        <v>117</v>
      </c>
      <c r="G90" s="4" t="s">
        <v>184</v>
      </c>
      <c r="H90" s="8" t="s">
        <v>41</v>
      </c>
      <c r="I90" s="10" t="s">
        <v>49</v>
      </c>
      <c r="J90" s="4" t="s">
        <v>20</v>
      </c>
      <c r="K90" s="4"/>
    </row>
    <row r="91" customFormat="false" ht="15" hidden="false" customHeight="false" outlineLevel="0" collapsed="false">
      <c r="A91" s="4" t="s">
        <v>185</v>
      </c>
      <c r="B91" s="4" t="s">
        <v>272</v>
      </c>
      <c r="C91" s="4" t="s">
        <v>200</v>
      </c>
      <c r="D91" s="4" t="s">
        <v>16</v>
      </c>
      <c r="E91" s="4" t="s">
        <v>16</v>
      </c>
      <c r="F91" s="4" t="s">
        <v>16</v>
      </c>
      <c r="G91" s="4" t="s">
        <v>200</v>
      </c>
      <c r="H91" s="6" t="s">
        <v>27</v>
      </c>
      <c r="I91" s="13" t="s">
        <v>200</v>
      </c>
      <c r="J91" s="4" t="s">
        <v>206</v>
      </c>
      <c r="K91" s="4" t="s">
        <v>273</v>
      </c>
    </row>
    <row r="92" customFormat="false" ht="22.35" hidden="false" customHeight="false" outlineLevel="0" collapsed="false">
      <c r="A92" s="4" t="s">
        <v>185</v>
      </c>
      <c r="B92" s="4" t="s">
        <v>274</v>
      </c>
      <c r="C92" s="4" t="s">
        <v>275</v>
      </c>
      <c r="D92" s="4" t="s">
        <v>120</v>
      </c>
      <c r="E92" s="4" t="s">
        <v>275</v>
      </c>
      <c r="F92" s="4" t="s">
        <v>276</v>
      </c>
      <c r="G92" s="4" t="s">
        <v>184</v>
      </c>
      <c r="H92" s="8" t="s">
        <v>41</v>
      </c>
      <c r="I92" s="9" t="s">
        <v>42</v>
      </c>
      <c r="J92" s="4" t="s">
        <v>20</v>
      </c>
      <c r="K92" s="4"/>
    </row>
    <row r="93" customFormat="false" ht="22.35" hidden="false" customHeight="false" outlineLevel="0" collapsed="false">
      <c r="A93" s="4" t="s">
        <v>185</v>
      </c>
      <c r="B93" s="4" t="s">
        <v>277</v>
      </c>
      <c r="C93" s="4" t="s">
        <v>278</v>
      </c>
      <c r="D93" s="4" t="s">
        <v>279</v>
      </c>
      <c r="E93" s="4" t="s">
        <v>16</v>
      </c>
      <c r="F93" s="4" t="s">
        <v>16</v>
      </c>
      <c r="G93" s="4" t="s">
        <v>280</v>
      </c>
      <c r="H93" s="6" t="s">
        <v>27</v>
      </c>
      <c r="I93" s="7" t="s">
        <v>28</v>
      </c>
      <c r="J93" s="4" t="s">
        <v>206</v>
      </c>
      <c r="K93" s="4" t="s">
        <v>211</v>
      </c>
    </row>
    <row r="94" customFormat="false" ht="22.35" hidden="false" customHeight="false" outlineLevel="0" collapsed="false">
      <c r="A94" s="4" t="s">
        <v>185</v>
      </c>
      <c r="B94" s="4" t="s">
        <v>281</v>
      </c>
      <c r="C94" s="4" t="s">
        <v>89</v>
      </c>
      <c r="D94" s="4" t="s">
        <v>16</v>
      </c>
      <c r="E94" s="4" t="s">
        <v>25</v>
      </c>
      <c r="F94" s="4" t="s">
        <v>98</v>
      </c>
      <c r="G94" s="4" t="s">
        <v>65</v>
      </c>
      <c r="H94" s="6" t="s">
        <v>27</v>
      </c>
      <c r="I94" s="7" t="s">
        <v>28</v>
      </c>
      <c r="J94" s="4" t="s">
        <v>20</v>
      </c>
      <c r="K94" s="4" t="s">
        <v>282</v>
      </c>
    </row>
    <row r="95" customFormat="false" ht="22.35" hidden="false" customHeight="false" outlineLevel="0" collapsed="false">
      <c r="A95" s="4" t="s">
        <v>185</v>
      </c>
      <c r="B95" s="4" t="s">
        <v>283</v>
      </c>
      <c r="C95" s="4" t="s">
        <v>25</v>
      </c>
      <c r="D95" s="4" t="s">
        <v>98</v>
      </c>
      <c r="E95" s="4" t="s">
        <v>25</v>
      </c>
      <c r="F95" s="4" t="s">
        <v>16</v>
      </c>
      <c r="G95" s="4" t="s">
        <v>284</v>
      </c>
      <c r="H95" s="4" t="s">
        <v>18</v>
      </c>
      <c r="I95" s="5" t="s">
        <v>285</v>
      </c>
      <c r="J95" s="4" t="s">
        <v>20</v>
      </c>
      <c r="K95" s="4" t="s">
        <v>286</v>
      </c>
    </row>
    <row r="96" customFormat="false" ht="22.35" hidden="false" customHeight="false" outlineLevel="0" collapsed="false">
      <c r="A96" s="4" t="s">
        <v>185</v>
      </c>
      <c r="B96" s="4" t="s">
        <v>287</v>
      </c>
      <c r="C96" s="4" t="s">
        <v>25</v>
      </c>
      <c r="D96" s="4" t="s">
        <v>47</v>
      </c>
      <c r="E96" s="4" t="s">
        <v>25</v>
      </c>
      <c r="F96" s="4" t="s">
        <v>95</v>
      </c>
      <c r="G96" s="4" t="s">
        <v>184</v>
      </c>
      <c r="H96" s="8" t="s">
        <v>41</v>
      </c>
      <c r="I96" s="9" t="s">
        <v>42</v>
      </c>
      <c r="J96" s="4" t="s">
        <v>20</v>
      </c>
      <c r="K96" s="4" t="s">
        <v>288</v>
      </c>
    </row>
    <row r="97" customFormat="false" ht="22.35" hidden="false" customHeight="false" outlineLevel="0" collapsed="false">
      <c r="A97" s="4" t="s">
        <v>185</v>
      </c>
      <c r="B97" s="4" t="s">
        <v>289</v>
      </c>
      <c r="C97" s="4" t="s">
        <v>290</v>
      </c>
      <c r="D97" s="4" t="s">
        <v>291</v>
      </c>
      <c r="E97" s="4" t="s">
        <v>292</v>
      </c>
      <c r="F97" s="4" t="s">
        <v>54</v>
      </c>
      <c r="G97" s="4" t="s">
        <v>184</v>
      </c>
      <c r="H97" s="8" t="s">
        <v>41</v>
      </c>
      <c r="I97" s="9" t="s">
        <v>42</v>
      </c>
      <c r="J97" s="4" t="s">
        <v>206</v>
      </c>
      <c r="K97" s="4" t="s">
        <v>293</v>
      </c>
    </row>
    <row r="98" customFormat="false" ht="22.35" hidden="false" customHeight="false" outlineLevel="0" collapsed="false">
      <c r="A98" s="4" t="s">
        <v>185</v>
      </c>
      <c r="B98" s="4" t="s">
        <v>294</v>
      </c>
      <c r="C98" s="4" t="s">
        <v>295</v>
      </c>
      <c r="D98" s="4" t="s">
        <v>296</v>
      </c>
      <c r="E98" s="4" t="s">
        <v>16</v>
      </c>
      <c r="F98" s="4" t="s">
        <v>16</v>
      </c>
      <c r="G98" s="4" t="s">
        <v>65</v>
      </c>
      <c r="H98" s="6" t="s">
        <v>27</v>
      </c>
      <c r="I98" s="7" t="s">
        <v>28</v>
      </c>
      <c r="J98" s="4" t="s">
        <v>20</v>
      </c>
      <c r="K98" s="4"/>
    </row>
    <row r="99" customFormat="false" ht="22.35" hidden="false" customHeight="false" outlineLevel="0" collapsed="false">
      <c r="A99" s="4" t="s">
        <v>297</v>
      </c>
      <c r="B99" s="4" t="s">
        <v>298</v>
      </c>
      <c r="C99" s="4" t="s">
        <v>299</v>
      </c>
      <c r="D99" s="4" t="s">
        <v>120</v>
      </c>
      <c r="E99" s="4" t="s">
        <v>300</v>
      </c>
      <c r="F99" s="4" t="s">
        <v>301</v>
      </c>
      <c r="G99" s="4" t="s">
        <v>302</v>
      </c>
      <c r="H99" s="8" t="s">
        <v>41</v>
      </c>
      <c r="I99" s="5" t="s">
        <v>285</v>
      </c>
      <c r="J99" s="4" t="s">
        <v>206</v>
      </c>
      <c r="K99" s="4" t="s">
        <v>303</v>
      </c>
    </row>
    <row r="100" customFormat="false" ht="22.35" hidden="false" customHeight="false" outlineLevel="0" collapsed="false">
      <c r="A100" s="4" t="s">
        <v>297</v>
      </c>
      <c r="B100" s="4" t="s">
        <v>304</v>
      </c>
      <c r="C100" s="4" t="s">
        <v>305</v>
      </c>
      <c r="D100" s="4" t="s">
        <v>103</v>
      </c>
      <c r="E100" s="4" t="s">
        <v>305</v>
      </c>
      <c r="F100" s="4" t="s">
        <v>306</v>
      </c>
      <c r="G100" s="4" t="s">
        <v>184</v>
      </c>
      <c r="H100" s="8" t="s">
        <v>41</v>
      </c>
      <c r="I100" s="9" t="s">
        <v>42</v>
      </c>
      <c r="J100" s="4" t="s">
        <v>206</v>
      </c>
      <c r="K100" s="4" t="s">
        <v>211</v>
      </c>
    </row>
    <row r="101" customFormat="false" ht="22.35" hidden="false" customHeight="false" outlineLevel="0" collapsed="false">
      <c r="A101" s="4" t="s">
        <v>297</v>
      </c>
      <c r="B101" s="4" t="s">
        <v>307</v>
      </c>
      <c r="C101" s="4" t="s">
        <v>308</v>
      </c>
      <c r="D101" s="4" t="s">
        <v>31</v>
      </c>
      <c r="E101" s="4" t="s">
        <v>309</v>
      </c>
      <c r="F101" s="4" t="s">
        <v>310</v>
      </c>
      <c r="G101" s="4" t="s">
        <v>311</v>
      </c>
      <c r="H101" s="8" t="s">
        <v>41</v>
      </c>
      <c r="I101" s="9" t="s">
        <v>42</v>
      </c>
      <c r="J101" s="4" t="s">
        <v>206</v>
      </c>
      <c r="K101" s="4" t="s">
        <v>312</v>
      </c>
    </row>
    <row r="102" customFormat="false" ht="22.35" hidden="false" customHeight="false" outlineLevel="0" collapsed="false">
      <c r="A102" s="4" t="s">
        <v>297</v>
      </c>
      <c r="B102" s="4" t="s">
        <v>313</v>
      </c>
      <c r="C102" s="4" t="s">
        <v>314</v>
      </c>
      <c r="D102" s="4" t="s">
        <v>73</v>
      </c>
      <c r="E102" s="4" t="s">
        <v>314</v>
      </c>
      <c r="F102" s="4" t="s">
        <v>73</v>
      </c>
      <c r="G102" s="4" t="s">
        <v>65</v>
      </c>
      <c r="H102" s="6" t="s">
        <v>27</v>
      </c>
      <c r="I102" s="7" t="s">
        <v>28</v>
      </c>
      <c r="J102" s="4" t="s">
        <v>20</v>
      </c>
      <c r="K102" s="4"/>
    </row>
    <row r="103" customFormat="false" ht="22.35" hidden="false" customHeight="false" outlineLevel="0" collapsed="false">
      <c r="A103" s="4" t="s">
        <v>297</v>
      </c>
      <c r="B103" s="4" t="s">
        <v>315</v>
      </c>
      <c r="C103" s="4" t="s">
        <v>316</v>
      </c>
      <c r="D103" s="4" t="s">
        <v>83</v>
      </c>
      <c r="E103" s="4" t="s">
        <v>316</v>
      </c>
      <c r="F103" s="4" t="s">
        <v>83</v>
      </c>
      <c r="G103" s="4" t="s">
        <v>184</v>
      </c>
      <c r="H103" s="8" t="s">
        <v>41</v>
      </c>
      <c r="I103" s="10" t="s">
        <v>49</v>
      </c>
      <c r="J103" s="4" t="s">
        <v>317</v>
      </c>
      <c r="K103" s="4" t="s">
        <v>318</v>
      </c>
    </row>
    <row r="104" customFormat="false" ht="15" hidden="false" customHeight="false" outlineLevel="0" collapsed="false">
      <c r="A104" s="4" t="s">
        <v>297</v>
      </c>
      <c r="B104" s="4" t="s">
        <v>319</v>
      </c>
      <c r="C104" s="4" t="s">
        <v>320</v>
      </c>
      <c r="D104" s="4" t="s">
        <v>120</v>
      </c>
      <c r="E104" s="4" t="s">
        <v>16</v>
      </c>
      <c r="F104" s="4" t="s">
        <v>16</v>
      </c>
      <c r="G104" s="4" t="s">
        <v>321</v>
      </c>
      <c r="H104" s="6" t="s">
        <v>27</v>
      </c>
      <c r="I104" s="7" t="s">
        <v>28</v>
      </c>
      <c r="J104" s="4" t="s">
        <v>206</v>
      </c>
      <c r="K104" s="4" t="s">
        <v>322</v>
      </c>
    </row>
    <row r="105" customFormat="false" ht="22.35" hidden="false" customHeight="false" outlineLevel="0" collapsed="false">
      <c r="A105" s="4" t="s">
        <v>323</v>
      </c>
      <c r="B105" s="4" t="s">
        <v>324</v>
      </c>
      <c r="C105" s="4" t="s">
        <v>200</v>
      </c>
      <c r="D105" s="4" t="s">
        <v>16</v>
      </c>
      <c r="E105" s="4" t="s">
        <v>16</v>
      </c>
      <c r="F105" s="4" t="s">
        <v>16</v>
      </c>
      <c r="G105" s="4" t="s">
        <v>200</v>
      </c>
      <c r="H105" s="6" t="s">
        <v>27</v>
      </c>
      <c r="I105" s="13" t="s">
        <v>200</v>
      </c>
      <c r="J105" s="4" t="s">
        <v>206</v>
      </c>
      <c r="K105" s="4" t="s">
        <v>273</v>
      </c>
    </row>
    <row r="106" customFormat="false" ht="22.35" hidden="false" customHeight="false" outlineLevel="0" collapsed="false">
      <c r="A106" s="4" t="s">
        <v>323</v>
      </c>
      <c r="B106" s="4" t="s">
        <v>325</v>
      </c>
      <c r="C106" s="4" t="s">
        <v>200</v>
      </c>
      <c r="D106" s="4" t="s">
        <v>16</v>
      </c>
      <c r="E106" s="4" t="s">
        <v>16</v>
      </c>
      <c r="F106" s="4" t="s">
        <v>16</v>
      </c>
      <c r="G106" s="4" t="s">
        <v>200</v>
      </c>
      <c r="H106" s="6" t="s">
        <v>27</v>
      </c>
      <c r="I106" s="13" t="s">
        <v>200</v>
      </c>
      <c r="J106" s="4" t="s">
        <v>206</v>
      </c>
      <c r="K106" s="4" t="s">
        <v>273</v>
      </c>
    </row>
    <row r="107" customFormat="false" ht="22.35" hidden="false" customHeight="false" outlineLevel="0" collapsed="false">
      <c r="A107" s="4" t="s">
        <v>323</v>
      </c>
      <c r="B107" s="4" t="s">
        <v>326</v>
      </c>
      <c r="C107" s="4" t="s">
        <v>200</v>
      </c>
      <c r="D107" s="4" t="s">
        <v>16</v>
      </c>
      <c r="E107" s="4" t="s">
        <v>16</v>
      </c>
      <c r="F107" s="4" t="s">
        <v>16</v>
      </c>
      <c r="G107" s="4" t="s">
        <v>200</v>
      </c>
      <c r="H107" s="6" t="s">
        <v>27</v>
      </c>
      <c r="I107" s="13" t="s">
        <v>200</v>
      </c>
      <c r="J107" s="4" t="s">
        <v>206</v>
      </c>
      <c r="K107" s="4" t="s">
        <v>273</v>
      </c>
    </row>
    <row r="108" customFormat="false" ht="22.35" hidden="false" customHeight="false" outlineLevel="0" collapsed="false">
      <c r="A108" s="4" t="s">
        <v>323</v>
      </c>
      <c r="B108" s="4" t="s">
        <v>327</v>
      </c>
      <c r="C108" s="4" t="s">
        <v>141</v>
      </c>
      <c r="D108" s="4" t="s">
        <v>16</v>
      </c>
      <c r="E108" s="4" t="s">
        <v>25</v>
      </c>
      <c r="F108" s="4" t="s">
        <v>328</v>
      </c>
      <c r="G108" s="4" t="s">
        <v>184</v>
      </c>
      <c r="H108" s="4" t="s">
        <v>18</v>
      </c>
      <c r="I108" s="9" t="s">
        <v>42</v>
      </c>
      <c r="J108" s="4" t="s">
        <v>20</v>
      </c>
      <c r="K108" s="4" t="s">
        <v>329</v>
      </c>
    </row>
    <row r="109" customFormat="false" ht="22.35" hidden="false" customHeight="false" outlineLevel="0" collapsed="false">
      <c r="A109" s="4" t="s">
        <v>323</v>
      </c>
      <c r="B109" s="4" t="s">
        <v>330</v>
      </c>
      <c r="C109" s="4" t="s">
        <v>331</v>
      </c>
      <c r="D109" s="4" t="s">
        <v>33</v>
      </c>
      <c r="E109" s="4" t="s">
        <v>331</v>
      </c>
      <c r="F109" s="4" t="s">
        <v>33</v>
      </c>
      <c r="G109" s="4" t="s">
        <v>332</v>
      </c>
      <c r="H109" s="6" t="s">
        <v>27</v>
      </c>
      <c r="I109" s="7" t="s">
        <v>28</v>
      </c>
      <c r="J109" s="4" t="s">
        <v>206</v>
      </c>
      <c r="K109" s="4" t="s">
        <v>333</v>
      </c>
    </row>
    <row r="110" customFormat="false" ht="22.35" hidden="false" customHeight="false" outlineLevel="0" collapsed="false">
      <c r="A110" s="4" t="s">
        <v>323</v>
      </c>
      <c r="B110" s="4" t="s">
        <v>334</v>
      </c>
      <c r="C110" s="4" t="s">
        <v>200</v>
      </c>
      <c r="D110" s="4" t="s">
        <v>16</v>
      </c>
      <c r="E110" s="4" t="s">
        <v>25</v>
      </c>
      <c r="F110" s="4" t="s">
        <v>328</v>
      </c>
      <c r="G110" s="4" t="s">
        <v>184</v>
      </c>
      <c r="H110" s="4" t="s">
        <v>18</v>
      </c>
      <c r="I110" s="9" t="s">
        <v>42</v>
      </c>
      <c r="J110" s="4" t="s">
        <v>20</v>
      </c>
      <c r="K110" s="4" t="s">
        <v>335</v>
      </c>
    </row>
    <row r="111" customFormat="false" ht="22.35" hidden="false" customHeight="false" outlineLevel="0" collapsed="false">
      <c r="A111" s="4" t="s">
        <v>323</v>
      </c>
      <c r="B111" s="4" t="s">
        <v>336</v>
      </c>
      <c r="C111" s="4" t="s">
        <v>200</v>
      </c>
      <c r="D111" s="4" t="s">
        <v>337</v>
      </c>
      <c r="E111" s="4" t="s">
        <v>338</v>
      </c>
      <c r="F111" s="4" t="s">
        <v>16</v>
      </c>
      <c r="G111" s="4" t="s">
        <v>339</v>
      </c>
      <c r="H111" s="6" t="s">
        <v>27</v>
      </c>
      <c r="I111" s="11" t="s">
        <v>70</v>
      </c>
      <c r="J111" s="4" t="s">
        <v>206</v>
      </c>
      <c r="K111" s="4" t="s">
        <v>340</v>
      </c>
    </row>
    <row r="112" customFormat="false" ht="22.35" hidden="false" customHeight="false" outlineLevel="0" collapsed="false">
      <c r="A112" s="4" t="s">
        <v>323</v>
      </c>
      <c r="B112" s="4" t="s">
        <v>341</v>
      </c>
      <c r="C112" s="4" t="s">
        <v>200</v>
      </c>
      <c r="D112" s="4" t="s">
        <v>16</v>
      </c>
      <c r="E112" s="4" t="s">
        <v>25</v>
      </c>
      <c r="F112" s="4" t="s">
        <v>328</v>
      </c>
      <c r="G112" s="4" t="s">
        <v>184</v>
      </c>
      <c r="H112" s="4" t="s">
        <v>18</v>
      </c>
      <c r="I112" s="9" t="s">
        <v>42</v>
      </c>
      <c r="J112" s="4" t="s">
        <v>20</v>
      </c>
      <c r="K112" s="4" t="s">
        <v>335</v>
      </c>
    </row>
    <row r="113" customFormat="false" ht="22.35" hidden="false" customHeight="false" outlineLevel="0" collapsed="false">
      <c r="A113" s="4" t="s">
        <v>323</v>
      </c>
      <c r="B113" s="4" t="s">
        <v>342</v>
      </c>
      <c r="C113" s="4" t="s">
        <v>331</v>
      </c>
      <c r="D113" s="4" t="s">
        <v>73</v>
      </c>
      <c r="E113" s="4" t="s">
        <v>331</v>
      </c>
      <c r="F113" s="4" t="s">
        <v>74</v>
      </c>
      <c r="G113" s="4" t="s">
        <v>184</v>
      </c>
      <c r="H113" s="8" t="s">
        <v>41</v>
      </c>
      <c r="I113" s="9" t="s">
        <v>42</v>
      </c>
      <c r="J113" s="4" t="s">
        <v>206</v>
      </c>
      <c r="K113" s="4" t="s">
        <v>343</v>
      </c>
    </row>
    <row r="114" customFormat="false" ht="22.35" hidden="false" customHeight="false" outlineLevel="0" collapsed="false">
      <c r="A114" s="4" t="s">
        <v>323</v>
      </c>
      <c r="B114" s="4" t="s">
        <v>344</v>
      </c>
      <c r="C114" s="4" t="s">
        <v>200</v>
      </c>
      <c r="D114" s="4" t="s">
        <v>16</v>
      </c>
      <c r="E114" s="4" t="s">
        <v>25</v>
      </c>
      <c r="F114" s="4" t="s">
        <v>98</v>
      </c>
      <c r="G114" s="4" t="s">
        <v>284</v>
      </c>
      <c r="H114" s="6" t="s">
        <v>27</v>
      </c>
      <c r="I114" s="7" t="s">
        <v>28</v>
      </c>
      <c r="J114" s="4" t="s">
        <v>20</v>
      </c>
      <c r="K114" s="4" t="s">
        <v>345</v>
      </c>
    </row>
    <row r="115" customFormat="false" ht="22.35" hidden="false" customHeight="false" outlineLevel="0" collapsed="false">
      <c r="A115" s="4" t="s">
        <v>323</v>
      </c>
      <c r="B115" s="4" t="s">
        <v>346</v>
      </c>
      <c r="C115" s="4" t="s">
        <v>25</v>
      </c>
      <c r="D115" s="4" t="s">
        <v>347</v>
      </c>
      <c r="E115" s="4" t="s">
        <v>25</v>
      </c>
      <c r="F115" s="4" t="s">
        <v>347</v>
      </c>
      <c r="G115" s="4" t="s">
        <v>65</v>
      </c>
      <c r="H115" s="6" t="s">
        <v>27</v>
      </c>
      <c r="I115" s="7" t="s">
        <v>28</v>
      </c>
      <c r="J115" s="4" t="s">
        <v>20</v>
      </c>
      <c r="K115" s="4"/>
    </row>
    <row r="116" customFormat="false" ht="22.35" hidden="false" customHeight="false" outlineLevel="0" collapsed="false">
      <c r="A116" s="4" t="s">
        <v>323</v>
      </c>
      <c r="B116" s="4" t="s">
        <v>348</v>
      </c>
      <c r="C116" s="4" t="s">
        <v>349</v>
      </c>
      <c r="D116" s="4" t="s">
        <v>350</v>
      </c>
      <c r="E116" s="4" t="s">
        <v>351</v>
      </c>
      <c r="F116" s="4" t="s">
        <v>337</v>
      </c>
      <c r="G116" s="4" t="s">
        <v>352</v>
      </c>
      <c r="H116" s="8" t="s">
        <v>41</v>
      </c>
      <c r="I116" s="12" t="s">
        <v>127</v>
      </c>
      <c r="J116" s="4" t="s">
        <v>20</v>
      </c>
      <c r="K116" s="4" t="s">
        <v>353</v>
      </c>
    </row>
    <row r="117" customFormat="false" ht="22.35" hidden="false" customHeight="false" outlineLevel="0" collapsed="false">
      <c r="A117" s="4" t="s">
        <v>323</v>
      </c>
      <c r="B117" s="4" t="s">
        <v>354</v>
      </c>
      <c r="C117" s="4" t="s">
        <v>200</v>
      </c>
      <c r="D117" s="4" t="s">
        <v>16</v>
      </c>
      <c r="E117" s="4" t="s">
        <v>16</v>
      </c>
      <c r="F117" s="4" t="s">
        <v>16</v>
      </c>
      <c r="G117" s="4" t="s">
        <v>200</v>
      </c>
      <c r="H117" s="6" t="s">
        <v>27</v>
      </c>
      <c r="I117" s="13" t="s">
        <v>200</v>
      </c>
      <c r="J117" s="4" t="s">
        <v>206</v>
      </c>
      <c r="K117" s="4" t="s">
        <v>273</v>
      </c>
    </row>
    <row r="118" customFormat="false" ht="22.35" hidden="false" customHeight="false" outlineLevel="0" collapsed="false">
      <c r="A118" s="4" t="s">
        <v>323</v>
      </c>
      <c r="B118" s="4" t="s">
        <v>355</v>
      </c>
      <c r="C118" s="4" t="s">
        <v>356</v>
      </c>
      <c r="D118" s="4" t="s">
        <v>264</v>
      </c>
      <c r="E118" s="4" t="s">
        <v>356</v>
      </c>
      <c r="F118" s="4" t="s">
        <v>264</v>
      </c>
      <c r="G118" s="4" t="s">
        <v>65</v>
      </c>
      <c r="H118" s="6" t="s">
        <v>27</v>
      </c>
      <c r="I118" s="7" t="s">
        <v>28</v>
      </c>
      <c r="J118" s="4" t="s">
        <v>20</v>
      </c>
      <c r="K118" s="4"/>
    </row>
    <row r="119" customFormat="false" ht="22.35" hidden="false" customHeight="false" outlineLevel="0" collapsed="false">
      <c r="A119" s="4" t="s">
        <v>323</v>
      </c>
      <c r="B119" s="4" t="s">
        <v>357</v>
      </c>
      <c r="C119" s="4" t="s">
        <v>356</v>
      </c>
      <c r="D119" s="4" t="s">
        <v>54</v>
      </c>
      <c r="E119" s="4" t="s">
        <v>190</v>
      </c>
      <c r="F119" s="4" t="s">
        <v>54</v>
      </c>
      <c r="G119" s="4" t="s">
        <v>227</v>
      </c>
      <c r="H119" s="8" t="s">
        <v>41</v>
      </c>
      <c r="I119" s="10" t="s">
        <v>49</v>
      </c>
      <c r="J119" s="4" t="s">
        <v>20</v>
      </c>
      <c r="K119" s="4"/>
    </row>
    <row r="120" customFormat="false" ht="22.35" hidden="false" customHeight="false" outlineLevel="0" collapsed="false">
      <c r="A120" s="4" t="s">
        <v>323</v>
      </c>
      <c r="B120" s="4" t="s">
        <v>358</v>
      </c>
      <c r="C120" s="4" t="s">
        <v>25</v>
      </c>
      <c r="D120" s="4" t="s">
        <v>47</v>
      </c>
      <c r="E120" s="4" t="s">
        <v>25</v>
      </c>
      <c r="F120" s="4" t="s">
        <v>328</v>
      </c>
      <c r="G120" s="4" t="s">
        <v>184</v>
      </c>
      <c r="H120" s="8" t="s">
        <v>41</v>
      </c>
      <c r="I120" s="10" t="s">
        <v>49</v>
      </c>
      <c r="J120" s="4" t="s">
        <v>20</v>
      </c>
      <c r="K120" s="4" t="s">
        <v>359</v>
      </c>
    </row>
    <row r="121" customFormat="false" ht="22.35" hidden="false" customHeight="false" outlineLevel="0" collapsed="false">
      <c r="A121" s="4" t="s">
        <v>323</v>
      </c>
      <c r="B121" s="4" t="s">
        <v>360</v>
      </c>
      <c r="C121" s="4" t="s">
        <v>25</v>
      </c>
      <c r="D121" s="4" t="s">
        <v>33</v>
      </c>
      <c r="E121" s="4" t="s">
        <v>25</v>
      </c>
      <c r="F121" s="4" t="s">
        <v>33</v>
      </c>
      <c r="G121" s="4" t="s">
        <v>48</v>
      </c>
      <c r="H121" s="6" t="s">
        <v>27</v>
      </c>
      <c r="I121" s="7" t="s">
        <v>28</v>
      </c>
      <c r="J121" s="4" t="s">
        <v>20</v>
      </c>
      <c r="K121" s="4"/>
    </row>
    <row r="122" customFormat="false" ht="22.35" hidden="false" customHeight="false" outlineLevel="0" collapsed="false">
      <c r="A122" s="4" t="s">
        <v>323</v>
      </c>
      <c r="B122" s="4" t="s">
        <v>361</v>
      </c>
      <c r="C122" s="4" t="s">
        <v>200</v>
      </c>
      <c r="D122" s="4" t="s">
        <v>16</v>
      </c>
      <c r="E122" s="4" t="s">
        <v>16</v>
      </c>
      <c r="F122" s="4" t="s">
        <v>16</v>
      </c>
      <c r="G122" s="4" t="s">
        <v>362</v>
      </c>
      <c r="H122" s="6" t="s">
        <v>27</v>
      </c>
      <c r="I122" s="13" t="s">
        <v>200</v>
      </c>
      <c r="J122" s="4" t="s">
        <v>20</v>
      </c>
      <c r="K122" s="4"/>
    </row>
    <row r="123" customFormat="false" ht="22.35" hidden="false" customHeight="false" outlineLevel="0" collapsed="false">
      <c r="A123" s="4" t="s">
        <v>323</v>
      </c>
      <c r="B123" s="4" t="s">
        <v>363</v>
      </c>
      <c r="C123" s="4" t="s">
        <v>200</v>
      </c>
      <c r="D123" s="4" t="s">
        <v>16</v>
      </c>
      <c r="E123" s="4" t="s">
        <v>16</v>
      </c>
      <c r="F123" s="4" t="s">
        <v>16</v>
      </c>
      <c r="G123" s="4" t="s">
        <v>200</v>
      </c>
      <c r="H123" s="6" t="s">
        <v>27</v>
      </c>
      <c r="I123" s="13" t="s">
        <v>200</v>
      </c>
      <c r="J123" s="4" t="s">
        <v>206</v>
      </c>
      <c r="K123" s="4" t="s">
        <v>273</v>
      </c>
    </row>
  </sheetData>
  <autoFilter ref="A3:K12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</cols>
  <sheetData>
    <row r="1" customFormat="false" ht="21.75" hidden="false" customHeight="true" outlineLevel="0" collapsed="false">
      <c r="A1" s="14" t="s">
        <v>364</v>
      </c>
      <c r="B1" s="14"/>
      <c r="C1" s="14"/>
    </row>
    <row r="3" customFormat="false" ht="15" hidden="false" customHeight="false" outlineLevel="0" collapsed="false">
      <c r="A3" s="15" t="s">
        <v>10</v>
      </c>
      <c r="B3" s="15" t="s">
        <v>365</v>
      </c>
      <c r="C3" s="15" t="s">
        <v>366</v>
      </c>
    </row>
    <row r="4" customFormat="false" ht="15" hidden="false" customHeight="false" outlineLevel="0" collapsed="false">
      <c r="A4" s="16" t="s">
        <v>42</v>
      </c>
      <c r="B4" s="17" t="n">
        <f aca="false">COUNTIF('NSDS Status (Consolidated)'!I$4:I$123,A4)</f>
        <v>27</v>
      </c>
      <c r="C4" s="18" t="n">
        <f aca="false">B4/$B$12</f>
        <v>0.225</v>
      </c>
    </row>
    <row r="5" customFormat="false" ht="15" hidden="false" customHeight="false" outlineLevel="0" collapsed="false">
      <c r="A5" s="19" t="s">
        <v>70</v>
      </c>
      <c r="B5" s="17" t="n">
        <f aca="false">COUNTIF('NSDS Status (Consolidated)'!I$4:I$123,A5)</f>
        <v>8</v>
      </c>
      <c r="C5" s="18" t="n">
        <f aca="false">B5/$B$12</f>
        <v>0.0666666666666667</v>
      </c>
    </row>
    <row r="6" customFormat="false" ht="15" hidden="false" customHeight="false" outlineLevel="0" collapsed="false">
      <c r="A6" s="20" t="s">
        <v>49</v>
      </c>
      <c r="B6" s="17" t="n">
        <f aca="false">COUNTIF('NSDS Status (Consolidated)'!I$4:I$123,A6)</f>
        <v>29</v>
      </c>
      <c r="C6" s="18" t="n">
        <f aca="false">B6/$B$12</f>
        <v>0.241666666666667</v>
      </c>
    </row>
    <row r="7" customFormat="false" ht="15" hidden="false" customHeight="false" outlineLevel="0" collapsed="false">
      <c r="A7" s="21" t="s">
        <v>28</v>
      </c>
      <c r="B7" s="17" t="n">
        <f aca="false">COUNTIF('NSDS Status (Consolidated)'!I$4:I$123,A7)</f>
        <v>36</v>
      </c>
      <c r="C7" s="18" t="n">
        <f aca="false">B7/$B$12</f>
        <v>0.3</v>
      </c>
    </row>
    <row r="8" customFormat="false" ht="15" hidden="false" customHeight="false" outlineLevel="0" collapsed="false">
      <c r="A8" s="22" t="s">
        <v>200</v>
      </c>
      <c r="B8" s="17" t="n">
        <f aca="false">COUNTIF('NSDS Status (Consolidated)'!I$4:I$123,A8)</f>
        <v>14</v>
      </c>
      <c r="C8" s="18" t="n">
        <f aca="false">B8/$B$12</f>
        <v>0.116666666666667</v>
      </c>
    </row>
    <row r="9" customFormat="false" ht="15" hidden="false" customHeight="false" outlineLevel="0" collapsed="false">
      <c r="A9" s="23" t="s">
        <v>127</v>
      </c>
      <c r="B9" s="17" t="n">
        <f aca="false">COUNTIF('NSDS Status (Consolidated)'!I$4:I$123,A9)</f>
        <v>3</v>
      </c>
      <c r="C9" s="18" t="n">
        <f aca="false">B9/$B$12</f>
        <v>0.025</v>
      </c>
    </row>
    <row r="10" customFormat="false" ht="15" hidden="false" customHeight="false" outlineLevel="0" collapsed="false">
      <c r="A10" s="24" t="s">
        <v>285</v>
      </c>
      <c r="B10" s="17" t="n">
        <f aca="false">COUNTIF('NSDS Status (Consolidated)'!I$4:I$123,A10)</f>
        <v>2</v>
      </c>
      <c r="C10" s="18" t="n">
        <f aca="false">B10/$B$12</f>
        <v>0.0166666666666667</v>
      </c>
    </row>
    <row r="11" customFormat="false" ht="15" hidden="false" customHeight="false" outlineLevel="0" collapsed="false">
      <c r="A11" s="24" t="s">
        <v>19</v>
      </c>
      <c r="B11" s="17" t="n">
        <f aca="false">COUNTIF('NSDS Status (Consolidated)'!I$4:I$123,A11)</f>
        <v>1</v>
      </c>
      <c r="C11" s="18" t="n">
        <f aca="false">B11/$B$12</f>
        <v>0.00833333333333333</v>
      </c>
    </row>
    <row r="12" customFormat="false" ht="15" hidden="false" customHeight="false" outlineLevel="0" collapsed="false">
      <c r="A12" s="25" t="s">
        <v>367</v>
      </c>
      <c r="B12" s="25" t="n">
        <f aca="false">SUM(B4:B11)</f>
        <v>120</v>
      </c>
      <c r="C12" s="26" t="n">
        <f aca="false">SUM(C4:C11)</f>
        <v>1</v>
      </c>
    </row>
    <row r="14" customFormat="false" ht="15" hidden="false" customHeight="false" outlineLevel="0" collapsed="false">
      <c r="A14" s="27" t="s">
        <v>9</v>
      </c>
      <c r="B14" s="27" t="s">
        <v>365</v>
      </c>
    </row>
    <row r="15" customFormat="false" ht="15" hidden="false" customHeight="false" outlineLevel="0" collapsed="false">
      <c r="A15" s="17" t="s">
        <v>41</v>
      </c>
      <c r="B15" s="17" t="n">
        <f aca="false">COUNTIF('NSDS Status (Consolidated)'!H$4:H$123,A15)</f>
        <v>53</v>
      </c>
    </row>
    <row r="16" customFormat="false" ht="15" hidden="false" customHeight="false" outlineLevel="0" collapsed="false">
      <c r="A16" s="17" t="s">
        <v>27</v>
      </c>
      <c r="B16" s="17" t="n">
        <f aca="false">COUNTIF('NSDS Status (Consolidated)'!H$4:H$123,A16)</f>
        <v>60</v>
      </c>
    </row>
    <row r="17" customFormat="false" ht="15" hidden="false" customHeight="false" outlineLevel="0" collapsed="false">
      <c r="A17" s="17" t="s">
        <v>69</v>
      </c>
      <c r="B17" s="17" t="n">
        <f aca="false">COUNTIF('NSDS Status (Consolidated)'!H$4:H$123,A17)</f>
        <v>2</v>
      </c>
    </row>
    <row r="18" customFormat="false" ht="15" hidden="false" customHeight="false" outlineLevel="0" collapsed="false">
      <c r="A18" s="17" t="s">
        <v>18</v>
      </c>
      <c r="B18" s="17" t="n">
        <f aca="false">COUNTIF('NSDS Status (Consolidated)'!H$4:H$123,A18)</f>
        <v>5</v>
      </c>
    </row>
    <row r="20" customFormat="false" ht="15" hidden="false" customHeight="true" outlineLevel="0" collapsed="false">
      <c r="A20" s="28" t="s">
        <v>368</v>
      </c>
      <c r="B20" s="28"/>
      <c r="C20" s="28"/>
    </row>
    <row r="21" customFormat="false" ht="15" hidden="false" customHeight="false" outlineLevel="0" collapsed="false">
      <c r="A21" s="28"/>
      <c r="B21" s="28"/>
      <c r="C21" s="28"/>
    </row>
    <row r="22" customFormat="false" ht="15" hidden="false" customHeight="false" outlineLevel="0" collapsed="false">
      <c r="A22" s="28"/>
      <c r="B22" s="28"/>
      <c r="C22" s="28"/>
    </row>
    <row r="23" customFormat="false" ht="15" hidden="false" customHeight="false" outlineLevel="0" collapsed="false">
      <c r="A23" s="28"/>
      <c r="B23" s="28"/>
      <c r="C23" s="28"/>
    </row>
    <row r="24" customFormat="false" ht="15" hidden="false" customHeight="false" outlineLevel="0" collapsed="false">
      <c r="A24" s="28"/>
      <c r="B24" s="28"/>
      <c r="C24" s="28"/>
    </row>
  </sheetData>
  <mergeCells count="2">
    <mergeCell ref="A1:C1"/>
    <mergeCell ref="A20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2026-05-25T03:00:45Z</dcterms:created>
  <dc:creator>openpyxl</dc:creator>
  <dc:description/>
  <dc:language>en-US</dc:language>
  <cp:lastModifiedBy/>
  <dcterms:modified xsi:type="dcterms:W3CDTF">2026-05-25T03:00:46Z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